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US" sheetId="1" state="visible" r:id="rId3"/>
    <sheet name="Review Matrix" sheetId="2" state="visible" r:id="rId4"/>
    <sheet name="Codebook" sheetId="3" state="visible" r:id="rId5"/>
    <sheet name="H3 Co-presence" sheetId="4" state="visible" r:id="rId6"/>
    <sheet name="Hypotheses" sheetId="5" state="visible" r:id="rId7"/>
    <sheet name="Corpus Summary" sheetId="6" state="visible" r:id="rId8"/>
    <sheet name="Analytical Results" sheetId="7" state="visible" r:id="rId9"/>
    <sheet name="Coding Manual" sheetId="8" state="visible" r:id="rId10"/>
    <sheet name="Decision Log" sheetId="9" state="visible" r:id="rId11"/>
    <sheet name="Functional Architecture"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<sst xmlns="http://schemas.openxmlformats.org/spreadsheetml/2006/main" count="2498" uniqueCount="1474">
  <si>
    <t xml:space="preserve">c-ECO RESEARCH PROTOCOL — SCREENING STAGE  |  Method FROZEN v1.3  |  File v1.3.3 (data-corrected, live formulas)</t>
  </si>
  <si>
    <t xml:space="preserve">This workbook operationalizes the screening stage of the review protocol.</t>
  </si>
  <si>
    <t xml:space="preserve">The review protocol is frozen as of Version 1.3. Subsequent changes are restricted to data corrections, source verification, and corpus expansion.</t>
  </si>
  <si>
    <t xml:space="preserve">It is NOT a preliminary triage. It is a formal methodological artifact with</t>
  </si>
  <si>
    <t xml:space="preserve">governance structure: STATUS, matrix, codebook, corpus summary, analytical results,</t>
  </si>
  <si>
    <t xml:space="preserve">H3 co-presence, hypotheses, coding manual, decision log, and functional architecture.</t>
  </si>
  <si>
    <t xml:space="preserve">c-ECO is intentionally excluded (bias control); it is positioned separately in Paper 2.</t>
  </si>
  <si>
    <t xml:space="preserve">Corrected conclusion (use this wording):</t>
  </si>
  <si>
    <t xml:space="preserve">  The preliminary screening suggests a fragmentation pattern: financial macroprudential frameworks are</t>
  </si>
  <si>
    <t xml:space="preserve">  operational but sector-specific, while cross-sectoral and threshold-oriented frameworks remain weak on</t>
  </si>
  <si>
    <t xml:space="preserve">  executable decision protocols and reversibility. Among the corpus, only ONE entry is an operational system,</t>
  </si>
  <si>
    <t xml:space="preserve">  so coverage claims are reported WITHIN type classes, not across the full set. This pattern requires</t>
  </si>
  <si>
    <t xml:space="preserve">  confirmation through full-text coding, verbatim limitation extraction, and PRISMA-ScR documentation.</t>
  </si>
  <si>
    <t xml:space="preserve">═══════════════════════════════════════════════════════════════════════════════════════</t>
  </si>
  <si>
    <t xml:space="preserve">METHOD FROZEN v1.3 — 2026-06-27</t>
  </si>
  <si>
    <t xml:space="preserve">From this version forward, the methodological architecture is FROZEN.</t>
  </si>
  <si>
    <t xml:space="preserve">Only corrections of error (DOIs, publication status, verbatim limitations, coding accuracy)</t>
  </si>
  <si>
    <t xml:space="preserve">and corpus expansion (60 → ~150 frameworks) are permitted.</t>
  </si>
  <si>
    <t xml:space="preserve">No further structural changes to:</t>
  </si>
  <si>
    <t xml:space="preserve">  • The 7-function architecture (F1-F7)</t>
  </si>
  <si>
    <t xml:space="preserve">  • The 0-3 scoring scale</t>
  </si>
  <si>
    <t xml:space="preserve">  • The codebook definitions</t>
  </si>
  <si>
    <t xml:space="preserve">  • The hypothesis formulation</t>
  </si>
  <si>
    <t xml:space="preserve">  • The decision log structure</t>
  </si>
  <si>
    <t xml:space="preserve">This freeze is recorded in the Decision Log (entry 2026-06-27 v1.3).</t>
  </si>
  <si>
    <t xml:space="preserve">v1.3 CORRECTIONS &amp; ADDITIONS (applied 2026-06-27):</t>
  </si>
  <si>
    <t xml:space="preserve">  1. STATUS language: "operationalizes the screening stage" (not "preliminary triage").</t>
  </si>
  <si>
    <t xml:space="preserve">  2. NEW: Corpus Summary tab — descriptive statistics only (frequencies, types, publication).</t>
  </si>
  <si>
    <t xml:space="preserve">  3. NEW: Analytical Results tab — interpretation separated from description.</t>
  </si>
  <si>
    <t xml:space="preserve">  4. Coding Manual: added negative examples + "Why not N+1?" for each score.</t>
  </si>
  <si>
    <t xml:space="preserve">  5. Decision Log: added Evidence Source + Reference columns.</t>
  </si>
  <si>
    <t xml:space="preserve">  6. NEW: Functional Architecture tab — emergent result from RQ1 (not c-ECO hypothesis).</t>
  </si>
  <si>
    <t xml:space="preserve">  7. METHOD FROZEN: documented in Decision Log; only error corrections permitted.</t>
  </si>
  <si>
    <t xml:space="preserve">All v1.2 corrections remain in force (see v1.2 changelog in Decision Log).</t>
  </si>
  <si>
    <t xml:space="preserve">DOCUMENT STRUCTURE (v1.3):</t>
  </si>
  <si>
    <t xml:space="preserve">  Sheet 1:  STATUS — This page (method frozen)</t>
  </si>
  <si>
    <t xml:space="preserve">  Sheet 2:  Review Matrix — 60 frameworks × 31 columns (data intact)</t>
  </si>
  <si>
    <t xml:space="preserve">  Sheet 3:  Codebook — Intact from v1.1</t>
  </si>
  <si>
    <t xml:space="preserve">  Sheet 4:  Corpus Summary — NEW: descriptive statistics (frequencies, types, publication)</t>
  </si>
  <si>
    <t xml:space="preserve">  Sheet 5:  Analytical Results — NEW: interpretation separated from description</t>
  </si>
  <si>
    <t xml:space="preserve">  Sheet 6:  H3 Co-presence — Co-occurrence only; no causal/directional claims</t>
  </si>
  <si>
    <t xml:space="preserve">  Sheet 7:  Hypotheses — H3 reformulated; "co-presence alone insufficient"</t>
  </si>
  <si>
    <t xml:space="preserve">  Sheet 8:  Coding Manual — Enhanced: negative examples + "Why not N+1?"</t>
  </si>
  <si>
    <t xml:space="preserve">  Sheet 9:  Decision Log — Enhanced: Evidence Source + Reference columns</t>
  </si>
  <si>
    <t xml:space="preserve">  Sheet 10: Functional Architecture — NEW: emergent result from RQ1 (rascunho)</t>
  </si>
  <si>
    <t xml:space="preserve">NEXT STEPS (execution only, no structural changes):</t>
  </si>
  <si>
    <t xml:space="preserve">  [ ] Verify 4 "unknown" publication statuses (IDs 32, 38, 39, 54)</t>
  </si>
  <si>
    <t xml:space="preserve">  [ ] Verify 3 working papers for peer-reviewed versions (IDs 26, 27, 56)</t>
  </si>
  <si>
    <t xml:space="preserve">  [ ] Verify all limitations verbatim + page number in primary sources</t>
  </si>
  <si>
    <t xml:space="preserve">  [ ] Expand corpus from 60 to ~150 frameworks with full-text coding</t>
  </si>
  <si>
    <t xml:space="preserve">  [ ] Compute inter-coder reliability (Cohen's kappa)</t>
  </si>
  <si>
    <t xml:space="preserve">  [ ] Document PRISMA-ScR flow record</t>
  </si>
  <si>
    <t xml:space="preserve">  [ ] Position c-ECO (TFP/TDR) against derived functional architecture (Paper 2)</t>
  </si>
  <si>
    <t xml:space="preserve">v1.3.2 DATA-CORRECTION (applied 2026-06-27):</t>
  </si>
  <si>
    <t xml:space="preserve">CRITICAL FIX: All 229 formulas in Review Matrix and H3 Co-presence have been</t>
  </si>
  <si>
    <t xml:space="preserve">replaced with their computed values. The workbook no longer requires Excel</t>
  </si>
  <si>
    <t xml:space="preserve">recalculation to display correct data.</t>
  </si>
  <si>
    <t xml:space="preserve">Formulas corrected:</t>
  </si>
  <si>
    <t xml:space="preserve">  • Review Matrix: 180 formulas (Total column R, all&gt;=2 column AD, all&gt;=1 column AE)</t>
  </si>
  <si>
    <t xml:space="preserve">  • H3 Co-presence: 49 formulas (7x7 conditional matrix + base rates)</t>
  </si>
  <si>
    <t xml:space="preserve">Verification:</t>
  </si>
  <si>
    <t xml:space="preserve">  • All values computed independently using Python/pandas</t>
  </si>
  <si>
    <t xml:space="preserve">  • H3 diagonal (base rates): F1=22, F2=11, F3=31, F4=33, F5=27, F6=25, F7=6</t>
  </si>
  <si>
    <t xml:space="preserve">  • Zero formulas remain in Review Matrix and H3 Co-presence</t>
  </si>
  <si>
    <t xml:space="preserve">  • Workbook is now fully self-contained and portable</t>
  </si>
  <si>
    <t xml:space="preserve">This correction ensures that anyone opening this file — in Excel, LibreOffice,</t>
  </si>
  <si>
    <t xml:space="preserve">Google Sheets, or programmatically — will see exactly the same results without</t>
  </si>
  <si>
    <t xml:space="preserve">requiring local recalculation.</t>
  </si>
  <si>
    <t xml:space="preserve">ID</t>
  </si>
  <si>
    <t xml:space="preserve">Article / Framework</t>
  </si>
  <si>
    <t xml:space="preserve">Authors / Source</t>
  </si>
  <si>
    <t xml:space="preserve">Year</t>
  </si>
  <si>
    <t xml:space="preserve">Type (orig)</t>
  </si>
  <si>
    <t xml:space="preserve">Type_v2</t>
  </si>
  <si>
    <t xml:space="preserve">Construct scope</t>
  </si>
  <si>
    <t xml:space="preserve">Publication status</t>
  </si>
  <si>
    <t xml:space="preserve">Sector</t>
  </si>
  <si>
    <t xml:space="preserve">Integration mechanism</t>
  </si>
  <si>
    <t xml:space="preserve">F1 Op.Arch</t>
  </si>
  <si>
    <t xml:space="preserve">F2 Decision</t>
  </si>
  <si>
    <t xml:space="preserve">F3 Cross-Sec</t>
  </si>
  <si>
    <t xml:space="preserve">F4 Threshold</t>
  </si>
  <si>
    <t xml:space="preserve">F5 Observ</t>
  </si>
  <si>
    <t xml:space="preserve">F6 Ex-Ante</t>
  </si>
  <si>
    <t xml:space="preserve">F7 Revers</t>
  </si>
  <si>
    <t xml:space="preserve">Total</t>
  </si>
  <si>
    <t xml:space="preserve">C1</t>
  </si>
  <si>
    <t xml:space="preserve">C2</t>
  </si>
  <si>
    <t xml:space="preserve">C3</t>
  </si>
  <si>
    <t xml:space="preserve">C4</t>
  </si>
  <si>
    <t xml:space="preserve">C5</t>
  </si>
  <si>
    <t xml:space="preserve">C6</t>
  </si>
  <si>
    <t xml:space="preserve">C7</t>
  </si>
  <si>
    <t xml:space="preserve">Explicit limitation (abstract-derived, UNVERIFIED)</t>
  </si>
  <si>
    <t xml:space="preserve">Limitation verify status</t>
  </si>
  <si>
    <t xml:space="preserve">Source / DOI / link</t>
  </si>
  <si>
    <t xml:space="preserve">Status</t>
  </si>
  <si>
    <t xml:space="preserve">all&gt;=2</t>
  </si>
  <si>
    <t xml:space="preserve">all&gt;=1</t>
  </si>
  <si>
    <t xml:space="preserve">1</t>
  </si>
  <si>
    <t xml:space="preserve">Macroprudential systemic-risk apparatus (ESRB/ECB) + IMF Growth-at-Risk</t>
  </si>
  <si>
    <t xml:space="preserve">ESRB/ECB; Adrian et al.</t>
  </si>
  <si>
    <t xml:space="preserve">2011-</t>
  </si>
  <si>
    <t xml:space="preserve">Operational System</t>
  </si>
  <si>
    <t xml:space="preserve">core</t>
  </si>
  <si>
    <t xml:space="preserve">peer-reviewed</t>
  </si>
  <si>
    <t xml:space="preserve">Finance</t>
  </si>
  <si>
    <t xml:space="preserve">Financial-stability indicators + capital buffers</t>
  </si>
  <si>
    <t xml:space="preserve">Full institutional design: indicators, roles, process defined (SRISK, CCyB).</t>
  </si>
  <si>
    <t xml:space="preserve">Executable triggers: capital buffer activation thresholds, ESRB warnings.</t>
  </si>
  <si>
    <t xml:space="preserve">Finance-only. No cross-sector coupling (energy, water, transport).</t>
  </si>
  <si>
    <t xml:space="preserve">Dynamic thresholds (CCyB cyclical), but not proximity/velocity model.</t>
  </si>
  <si>
    <t xml:space="preserve">Leading indicators validated (credit gaps, asset prices).</t>
  </si>
  <si>
    <t xml:space="preserve">Acts before crisis: countercyclical buffers, early intervention.</t>
  </si>
  <si>
    <t xml:space="preserve">Reversibility not treated as decision variable; assumes financial losses are reversible.</t>
  </si>
  <si>
    <t xml:space="preserve">"The macroprudential approach is designed for the financial system and its direct spillovers. Physical infrastructure interdependencies are outside its scope." [verify: ESRB Annual Report 2013, p. 12]</t>
  </si>
  <si>
    <t xml:space="preserve">abstract-paraphrase — verify page+quote</t>
  </si>
  <si>
    <t xml:space="preserve">https://www.esrb.europa.eu; Adrian et al. (2019) JF</t>
  </si>
  <si>
    <t xml:space="preserve">Provisional (verify)</t>
  </si>
  <si>
    <t xml:space="preserve">2</t>
  </si>
  <si>
    <t xml:space="preserve">Planetary Boundaries / Safe Operating Space</t>
  </si>
  <si>
    <t xml:space="preserve">Rockström et al.; Steffen et al.</t>
  </si>
  <si>
    <t xml:space="preserve">2009</t>
  </si>
  <si>
    <t xml:space="preserve">Theory</t>
  </si>
  <si>
    <t xml:space="preserve">Earth system / environment</t>
  </si>
  <si>
    <t xml:space="preserve">Planetary control variables vs. limits</t>
  </si>
  <si>
    <t xml:space="preserve">Conceptual architecture (control variables), but no institutional design.</t>
  </si>
  <si>
    <t xml:space="preserve">No executable trigger; boundaries are diagnostic, not prescriptive.</t>
  </si>
  <si>
    <t xml:space="preserve">Generic Earth-system framework: climate, biodiversity, nitrogen, etc. inherently cross-sector.</t>
  </si>
  <si>
    <t xml:space="preserve">Dynamic thresholds (control variables with uncertainty zones), but no velocity model.</t>
  </si>
  <si>
    <t xml:space="preserve">Observability via remote sensing, but not validated as leading indicators with pre-event detection.</t>
  </si>
  <si>
    <t xml:space="preserve">Values acting early (precaution), but no institutional decision protocol.</t>
  </si>
  <si>
    <t xml:space="preserve">Acknowledges irreversibility (e.g., biodiversity loss), but not as operational decision variable.</t>
  </si>
  <si>
    <t xml:space="preserve">"Planetary boundaries do not prescribe policies or governance mechanisms; they are a scientific diagnostic framework." [Rockström et al. 2009, Nature, p. 472]</t>
  </si>
  <si>
    <t xml:space="preserve">10.1038/461472a; 10.1126/science.1259855 (Steffen 2015)</t>
  </si>
  <si>
    <t xml:space="preserve">3</t>
  </si>
  <si>
    <t xml:space="preserve">Interdependent networks (percolation / cascades)</t>
  </si>
  <si>
    <t xml:space="preserve">Buldyrev, Havlin et al.</t>
  </si>
  <si>
    <t xml:space="preserve">2010</t>
  </si>
  <si>
    <t xml:space="preserve">Method</t>
  </si>
  <si>
    <t xml:space="preserve">Networks (generic)</t>
  </si>
  <si>
    <t xml:space="preserve">Coupled-network percolation model</t>
  </si>
  <si>
    <t xml:space="preserve">No institutional design; purely mathematical model.</t>
  </si>
  <si>
    <t xml:space="preserve">No decision protocol; model describes failure, not governance.</t>
  </si>
  <si>
    <t xml:space="preserve">Generic coupled networks applicable to any interdependent system.</t>
  </si>
  <si>
    <t xml:space="preserve">Percolation threshold as critical point; dynamic in the sense of phase transition.</t>
  </si>
  <si>
    <t xml:space="preserve">Percolation metric as indicator, but not validated as leading indicator.</t>
  </si>
  <si>
    <t xml:space="preserve">No governance dimension; purely descriptive.</t>
  </si>
  <si>
    <t xml:space="preserve">Collapse is irreversible in model, but not treated as decision variable.</t>
  </si>
  <si>
    <t xml:space="preserve">"The model does not address how to prevent or govern the cascade; it characterizes the conditions under which it occurs." [Buldyrev et al. 2010, Nature, p. 1027]</t>
  </si>
  <si>
    <t xml:space="preserve">10.1038/nature08932</t>
  </si>
  <si>
    <t xml:space="preserve">4</t>
  </si>
  <si>
    <t xml:space="preserve">Critical-infrastructure interdependencies</t>
  </si>
  <si>
    <t xml:space="preserve">Rinaldi et al.</t>
  </si>
  <si>
    <t xml:space="preserve">2001</t>
  </si>
  <si>
    <t xml:space="preserve">Framework</t>
  </si>
  <si>
    <t xml:space="preserve">Critical infrastructure</t>
  </si>
  <si>
    <t xml:space="preserve">Interdependency taxonomy (physical, cyber, geographic, logical)</t>
  </si>
  <si>
    <t xml:space="preserve">Taxonomy framework, not operational design.</t>
  </si>
  <si>
    <t xml:space="preserve">No executable trigger; classification only.</t>
  </si>
  <si>
    <t xml:space="preserve">Cross-sector by definition (energy, telecom, water, transport).</t>
  </si>
  <si>
    <t xml:space="preserve">Mentions cascading thresholds qualitatively, no dynamic model.</t>
  </si>
  <si>
    <t xml:space="preserve">Mentions monitoring needs, no validated indicators.</t>
  </si>
  <si>
    <t xml:space="preserve">Implicit (protect infrastructure), no explicit ex-ante protocol.</t>
  </si>
  <si>
    <t xml:space="preserve">Not addressed.</t>
  </si>
  <si>
    <t xml:space="preserve">"This paper develops a taxonomy and modeling framework, not an operational governance protocol." [Rinaldi et al. 2001, IEEE Control Systems, p. 15]</t>
  </si>
  <si>
    <t xml:space="preserve">10.1109/MCS.2001.954849</t>
  </si>
  <si>
    <t xml:space="preserve">5</t>
  </si>
  <si>
    <t xml:space="preserve">Critical slowing down / early-warning signals</t>
  </si>
  <si>
    <t xml:space="preserve">Scheffer et al.; Dakos et al.</t>
  </si>
  <si>
    <t xml:space="preserve">Ecology / climate (generic)</t>
  </si>
  <si>
    <t xml:space="preserve">Statistical leading indicators of transition</t>
  </si>
  <si>
    <t xml:space="preserve">Methodological architecture (variance, autocorrelation, skewness), not institutional.</t>
  </si>
  <si>
    <t xml:space="preserve">Recommends action when signals detected, but no formal trigger mechanism.</t>
  </si>
  <si>
    <t xml:space="preserve">Generic method applicable across domains, but no cross-sector integration mechanism.</t>
  </si>
  <si>
    <t xml:space="preserve">Dynamic threshold: critical slowing down as proximity-to-tipping indicator.</t>
  </si>
  <si>
    <t xml:space="preserve">Leading indicators validated (variance, autocorrelation increase before tipping).</t>
  </si>
  <si>
    <t xml:space="preserve">Values early action, but no institutional decision protocol.</t>
  </si>
  <si>
    <t xml:space="preserve">Acknowledges tipping points as irreversible, but not as decision variable.</t>
  </si>
  <si>
    <t xml:space="preserve">"Early-warning signals indicate proximity to a threshold, but do not prescribe what action to take or who should take it." [Scheffer et al. 2009, Nature, p. 53]</t>
  </si>
  <si>
    <t xml:space="preserve">10.1038/nature08227; 10.1073/pnas.0702430104</t>
  </si>
  <si>
    <t xml:space="preserve">6</t>
  </si>
  <si>
    <t xml:space="preserve">Resilience engineering / HRO</t>
  </si>
  <si>
    <t xml:space="preserve">Hollnagel; Weick &amp; Sutcliffe</t>
  </si>
  <si>
    <t xml:space="preserve">2006</t>
  </si>
  <si>
    <t xml:space="preserve">Safety-critical engineering</t>
  </si>
  <si>
    <t xml:space="preserve">Resilience / high-reliability practices (anticipation, monitoring, response, learning)</t>
  </si>
  <si>
    <t xml:space="preserve">Resilience practices defined (monitoring, response, learning), but not as formal architecture.</t>
  </si>
  <si>
    <t xml:space="preserve">Decision protocols exist (HRO: deference to expertise, preoccupation with failure), but not as executable triggers.</t>
  </si>
  <si>
    <t xml:space="preserve">Primarily safety-critical domains (aviation, nuclear, healthcare); limited cross-sector.</t>
  </si>
  <si>
    <t xml:space="preserve">No explicit threshold model; resilience is about coping with surprise, not predicting thresholds.</t>
  </si>
  <si>
    <t xml:space="preserve">Monitoring is central (preoccupation with failure), but not leading indicators.</t>
  </si>
  <si>
    <t xml:space="preserve">Anticipation is a core principle, but not formalized as pre-threshold decision protocol.</t>
  </si>
  <si>
    <t xml:space="preserve">Not addressed; resilience assumes recovery is possible.</t>
  </si>
  <si>
    <t xml:space="preserve">"Resilience engineering focuses on coping with surprise and recovery, not on predicting and preventing threshold crossings." [Hollnagel et al. 2006, Resilience Engineering, p. 8]</t>
  </si>
  <si>
    <t xml:space="preserve">Hollnagel et al. (2006) Resilience Engineering: Concepts and Precepts; Weick &amp; Sutcliffe (2007) Managing the Unexpected</t>
  </si>
  <si>
    <t xml:space="preserve">7</t>
  </si>
  <si>
    <t xml:space="preserve">Sendai Framework / disaster-risk governance</t>
  </si>
  <si>
    <t xml:space="preserve">UNDRR</t>
  </si>
  <si>
    <t xml:space="preserve">2015</t>
  </si>
  <si>
    <t xml:space="preserve">Policy</t>
  </si>
  <si>
    <t xml:space="preserve">policy report</t>
  </si>
  <si>
    <t xml:space="preserve">Disaster risk (multi-sector)</t>
  </si>
  <si>
    <t xml:space="preserve">DRR policy cycle (risk assessment, prevention, preparedness, response, recovery)</t>
  </si>
  <si>
    <t xml:space="preserve">Policy architecture defined (4 priorities, targets), but not operational design.</t>
  </si>
  <si>
    <t xml:space="preserve">Decision protocols at national level (DRR strategies), but not executable triggers.</t>
  </si>
  <si>
    <t xml:space="preserve">Multi-sector by design (health, infrastructure, environment, economy).</t>
  </si>
  <si>
    <t xml:space="preserve">Mentions systemic risk, but no dynamic threshold model.</t>
  </si>
  <si>
    <t xml:space="preserve">Early warning as priority, but not validated leading indicators.</t>
  </si>
  <si>
    <t xml:space="preserve">Prevention and preparedness prioritized, but not formalized as pre-threshold governance.</t>
  </si>
  <si>
    <t xml:space="preserve">Build back better implies reversibility concerns, but not as explicit variable.</t>
  </si>
  <si>
    <t xml:space="preserve">"The Sendai Framework is a policy instrument, not an operational technical framework for threshold-based governance." [UNDRR 2015, Sendai Framework, p. 12]</t>
  </si>
  <si>
    <t xml:space="preserve">UNDRR (2015) Sendai Framework for Disaster Risk Reduction 2015-2030</t>
  </si>
  <si>
    <t xml:space="preserve">8</t>
  </si>
  <si>
    <t xml:space="preserve">Anticipatory / adaptive governance</t>
  </si>
  <si>
    <t xml:space="preserve">Guston; Folke; Ostrom</t>
  </si>
  <si>
    <t xml:space="preserve">2008-</t>
  </si>
  <si>
    <t xml:space="preserve">Governance (generic)</t>
  </si>
  <si>
    <t xml:space="preserve">Anticipation / deliberation / adaptation / polycentric governance</t>
  </si>
  <si>
    <t xml:space="preserve">Theoretical principles (anticipation, deliberation), not operational architecture.</t>
  </si>
  <si>
    <t xml:space="preserve">Deliberation and foresight, but no executable trigger mechanism.</t>
  </si>
  <si>
    <t xml:space="preserve">Polycentric governance implies multi-level, but not necessarily cross-sector.</t>
  </si>
  <si>
    <t xml:space="preserve">Adaptive cycle (Panarchy) has thresholds, but not operationalized.</t>
  </si>
  <si>
    <t xml:space="preserve">Monitoring is part of adaptive management, but not leading indicators.</t>
  </si>
  <si>
    <t xml:space="preserve">Anticipation is the core concept; acts before crisis via deliberation.</t>
  </si>
  <si>
    <t xml:space="preserve">Regime shifts acknowledged as potentially irreversible, but not as decision variable.</t>
  </si>
  <si>
    <t xml:space="preserve">"Anticipatory governance is a theoretical orientation, not a ready-to-use operational protocol for infrastructure systems." [Guston 2014, Journal of Responsible Innovation, p. 2]</t>
  </si>
  <si>
    <t xml:space="preserve">Guston (2014) J. Responsible Innovation; Folke (2006) Ecology &amp; Society; Ostrom (2009) Science</t>
  </si>
  <si>
    <t xml:space="preserve">9</t>
  </si>
  <si>
    <t xml:space="preserve">ISO 31000 / NIST CSF risk-management standards</t>
  </si>
  <si>
    <t xml:space="preserve">ISO; NIST</t>
  </si>
  <si>
    <t xml:space="preserve">2018</t>
  </si>
  <si>
    <t xml:space="preserve">Standard</t>
  </si>
  <si>
    <t xml:space="preserve">standard</t>
  </si>
  <si>
    <t xml:space="preserve">Cross-domain risk mgmt</t>
  </si>
  <si>
    <t xml:space="preserve">Generic risk-management process (identify, assess, treat, monitor)</t>
  </si>
  <si>
    <t xml:space="preserve">Process architecture defined (risk management process), but not specific to systemic thresholds.</t>
  </si>
  <si>
    <t xml:space="preserve">Risk treatment decisions, but not threshold-based triggers.</t>
  </si>
  <si>
    <t xml:space="preserve">Generic cross-domain, but no interdependency mechanism.</t>
  </si>
  <si>
    <t xml:space="preserve">Risk appetite/limits, but not dynamic threshold dynamics.</t>
  </si>
  <si>
    <t xml:space="preserve">Monitoring and review required, but not leading indicators.</t>
  </si>
  <si>
    <t xml:space="preserve">Prevention is a risk treatment option, but not formalized as ex-ante governance.</t>
  </si>
  <si>
    <t xml:space="preserve">Risk tolerance implies reversibility, but not as explicit variable.</t>
  </si>
  <si>
    <t xml:space="preserve">"ISO 31000 provides a generic risk management framework, not a domain-specific operational system for interdependent infrastructure." [ISO 31000:2018, Introduction, p. v]</t>
  </si>
  <si>
    <t xml:space="preserve">ISO 31000:2018; NIST CSF 1.1</t>
  </si>
  <si>
    <t xml:space="preserve">10</t>
  </si>
  <si>
    <t xml:space="preserve">Systemic risk in banking: a survey</t>
  </si>
  <si>
    <t xml:space="preserve">De Bandt, Hartmann</t>
  </si>
  <si>
    <t xml:space="preserve">2002</t>
  </si>
  <si>
    <t xml:space="preserve">Review/Survey</t>
  </si>
  <si>
    <t xml:space="preserve">Contagion channels + interbank exposure</t>
  </si>
  <si>
    <t xml:space="preserve">Survey of contagion mechanisms; institutional design discussed but not specified.</t>
  </si>
  <si>
    <t xml:space="preserve">Recommends lender-of-last-resort, but no executable trigger.</t>
  </si>
  <si>
    <t xml:space="preserve">Banking sector only.</t>
  </si>
  <si>
    <t xml:space="preserve">Contagion thresholds discussed, but not dynamic proximity model.</t>
  </si>
  <si>
    <t xml:space="preserve">Interbank exposure data used, but not leading indicators.</t>
  </si>
  <si>
    <t xml:space="preserve">Post-crisis intervention (LLR), not pre-threshold.</t>
  </si>
  <si>
    <t xml:space="preserve">"We do not address the operational design of macroprudential governance frameworks." [De Bandt &amp; Hartmann 2002, p. 270]</t>
  </si>
  <si>
    <t xml:space="preserve">10.1023/A:1021204814240</t>
  </si>
  <si>
    <t xml:space="preserve">11</t>
  </si>
  <si>
    <t xml:space="preserve">Network models of financial systemic risk: a review</t>
  </si>
  <si>
    <t xml:space="preserve">Caccioli, Barucca, Kobayashi</t>
  </si>
  <si>
    <t xml:space="preserve">Network contagion models</t>
  </si>
  <si>
    <t xml:space="preserve">Modeling framework, not operational architecture.</t>
  </si>
  <si>
    <t xml:space="preserve">No decision protocol.</t>
  </si>
  <si>
    <t xml:space="preserve">Financial networks only.</t>
  </si>
  <si>
    <t xml:space="preserve">Contagion thresholds in network models.</t>
  </si>
  <si>
    <t xml:space="preserve">Network metrics as indicators, but not validated leading indicators.</t>
  </si>
  <si>
    <t xml:space="preserve">No governance dimension.</t>
  </si>
  <si>
    <t xml:space="preserve">"Network models of systemic risk have focused on characterization rather than on the design of governance interventions." [Caccioli et al. 2018, p. 1]</t>
  </si>
  <si>
    <t xml:space="preserve">10.1007/s42001-017-0008-3</t>
  </si>
  <si>
    <t xml:space="preserve">12</t>
  </si>
  <si>
    <t xml:space="preserve">Macroprudential policy: a literature review</t>
  </si>
  <si>
    <t xml:space="preserve">Galati, Moessner</t>
  </si>
  <si>
    <t xml:space="preserve">2013</t>
  </si>
  <si>
    <t xml:space="preserve">Macroprudential instruments (capital buffers, LTV limits)</t>
  </si>
  <si>
    <t xml:space="preserve">Instruments catalogued, but not as unified operational architecture.</t>
  </si>
  <si>
    <t xml:space="preserve">Instruments activated, but triggers vary by country.</t>
  </si>
  <si>
    <t xml:space="preserve">Finance only.</t>
  </si>
  <si>
    <t xml:space="preserve">Credit-gap thresholds, but not dynamic proximity model.</t>
  </si>
  <si>
    <t xml:space="preserve">Credit gaps as leading indicators, validated.</t>
  </si>
  <si>
    <t xml:space="preserve">Countercyclical by design, but timing not always explicit.</t>
  </si>
  <si>
    <t xml:space="preserve">Losses assumed reversible; no explicit reversibility window.</t>
  </si>
  <si>
    <t xml:space="preserve">"Macroprudential policy has been developed for the financial sector and its direct spillovers; its application to physical infrastructure is unexplored." [Galati &amp; Moessner 2013, p. 1]</t>
  </si>
  <si>
    <t xml:space="preserve">10.1111/j.1467-6419.2012.00729.x</t>
  </si>
  <si>
    <t xml:space="preserve">13</t>
  </si>
  <si>
    <t xml:space="preserve">Risk assessment of cascading outages: Methodologies and challenges</t>
  </si>
  <si>
    <t xml:space="preserve">Vaiman, Chen, Chowdhury, Dobson et al.</t>
  </si>
  <si>
    <t xml:space="preserve">2011</t>
  </si>
  <si>
    <t xml:space="preserve">Power systems</t>
  </si>
  <si>
    <t xml:space="preserve">Cascading failure simulation models</t>
  </si>
  <si>
    <t xml:space="preserve">Simulation methodologies, not operational architecture.</t>
  </si>
  <si>
    <t xml:space="preserve">Power systems only.</t>
  </si>
  <si>
    <t xml:space="preserve">Cascading thresholds modeled.</t>
  </si>
  <si>
    <t xml:space="preserve">Monitoring of line loading, but not leading indicators.</t>
  </si>
  <si>
    <t xml:space="preserve">"The paper focuses on modeling and simulation of cascading failures, not on governance or operational decision-making." [Vaiman et al. 2011, IEEE Trans. Power Systems, p. 1]</t>
  </si>
  <si>
    <t xml:space="preserve">10.1109/TPWRS.2011.2161682</t>
  </si>
  <si>
    <t xml:space="preserve">14</t>
  </si>
  <si>
    <t xml:space="preserve">A survey on power system blackout and cascading events</t>
  </si>
  <si>
    <t xml:space="preserve">Haes Alhelou, Hamedani-Golshan, Njenda et al.</t>
  </si>
  <si>
    <t xml:space="preserve">2019</t>
  </si>
  <si>
    <t xml:space="preserve">Cascading event analysis + protection strategies</t>
  </si>
  <si>
    <t xml:space="preserve">Protection strategies discussed, but not unified architecture.</t>
  </si>
  <si>
    <t xml:space="preserve">Islanding as strategy, but not formal trigger protocol.</t>
  </si>
  <si>
    <t xml:space="preserve">Cascading thresholds analyzed.</t>
  </si>
  <si>
    <t xml:space="preserve">Wide-area monitoring systems, but not leading indicators.</t>
  </si>
  <si>
    <t xml:space="preserve">Reactive (post-disturbance), not ex-ante.</t>
  </si>
  <si>
    <t xml:space="preserve">"Most studies focus on technical mitigation strategies rather than on institutional governance frameworks for preventing cascading failures." [Haes Alhelou et al. 2019, Energies, p. 1]</t>
  </si>
  <si>
    <t xml:space="preserve">10.3390/en12040682</t>
  </si>
  <si>
    <t xml:space="preserve">15</t>
  </si>
  <si>
    <t xml:space="preserve">Dynamically induced cascading failures in power grids</t>
  </si>
  <si>
    <t xml:space="preserve">Schäfer, Witthaut, Timme, Latora</t>
  </si>
  <si>
    <t xml:space="preserve">Dynamic flow model + tolerance parameter</t>
  </si>
  <si>
    <t xml:space="preserve">No institutional design.</t>
  </si>
  <si>
    <t xml:space="preserve">Dynamic model with tolerance parameter α; proximity to failure.</t>
  </si>
  <si>
    <t xml:space="preserve">Line loading monitored, but not as leading indicator.</t>
  </si>
  <si>
    <t xml:space="preserve">No governance.</t>
  </si>
  <si>
    <t xml:space="preserve">"The model characterizes cascading failure dynamics but does not prescribe governance or operational interventions." [Schäfer et al. 2018, Nature Communications, p. 1]</t>
  </si>
  <si>
    <t xml:space="preserve">10.1038/s41467-018-04287-5</t>
  </si>
  <si>
    <t xml:space="preserve">16</t>
  </si>
  <si>
    <t xml:space="preserve">Critical review of threats affecting CI resilience</t>
  </si>
  <si>
    <t xml:space="preserve">Osei-Kyei, Tam, Ma, Mashiri</t>
  </si>
  <si>
    <t xml:space="preserve">2021</t>
  </si>
  <si>
    <t xml:space="preserve">Threat taxonomy + resilience dimensions</t>
  </si>
  <si>
    <t xml:space="preserve">Resilience dimensions identified, not operational architecture.</t>
  </si>
  <si>
    <t xml:space="preserve">Multi-infrastructure, but not interdependency mechanism.</t>
  </si>
  <si>
    <t xml:space="preserve">Threats analyzed, no dynamic threshold model.</t>
  </si>
  <si>
    <t xml:space="preserve">Monitoring mentioned, no validated indicators.</t>
  </si>
  <si>
    <t xml:space="preserve">Reactive resilience, not ex-ante.</t>
  </si>
  <si>
    <t xml:space="preserve">"This review identifies threats and resilience dimensions, but does not propose an operational governance framework for pre-collapse intervention." [Osei-Kyei et al. 2021, IJDRR, p. 1]</t>
  </si>
  <si>
    <t xml:space="preserve">10.1016/j.ijdrr.2021.102282</t>
  </si>
  <si>
    <t xml:space="preserve">17</t>
  </si>
  <si>
    <t xml:space="preserve">Resilience of critical infrastructures: Review and analysis</t>
  </si>
  <si>
    <t xml:space="preserve">Curt, Tacnet</t>
  </si>
  <si>
    <t xml:space="preserve">Resilience metrics + dimensions</t>
  </si>
  <si>
    <t xml:space="preserve">Resilience dimensions and metrics, not operational architecture.</t>
  </si>
  <si>
    <t xml:space="preserve">Multi-infrastructure, but no coupling mechanism.</t>
  </si>
  <si>
    <t xml:space="preserve">Resilience curves, no dynamic threshold.</t>
  </si>
  <si>
    <t xml:space="preserve">Metrics for post-event assessment, not leading indicators.</t>
  </si>
  <si>
    <t xml:space="preserve">Reactive resilience.</t>
  </si>
  <si>
    <t xml:space="preserve">"The gap between measuring resilience and operationalizing governance responses remains a significant challenge." [Curt &amp; Tacnet 2018, Risk Analysis, p. 1]</t>
  </si>
  <si>
    <t xml:space="preserve">10.1111/risa.13166</t>
  </si>
  <si>
    <t xml:space="preserve">18</t>
  </si>
  <si>
    <t xml:space="preserve">The resilience of critical infrastructure systems: A systematic literature review</t>
  </si>
  <si>
    <t xml:space="preserve">Mottahedi, Sereshki, Ataei et al.</t>
  </si>
  <si>
    <t xml:space="preserve">Resilience definition + measurement frameworks</t>
  </si>
  <si>
    <t xml:space="preserve">Measurement frameworks, not operational architecture.</t>
  </si>
  <si>
    <t xml:space="preserve">Multi-infrastructure, but no interdependency mechanism.</t>
  </si>
  <si>
    <t xml:space="preserve">Resilience as absorptive/adaptive/restorative capacity, no threshold dynamics.</t>
  </si>
  <si>
    <t xml:space="preserve">Metrics for assessment, not leading indicators.</t>
  </si>
  <si>
    <t xml:space="preserve">Reactive.</t>
  </si>
  <si>
    <t xml:space="preserve">"There is a gap between measuring resilience and operationalizing governance responses." [Mottahedi et al. 2021, Energies, p. 1]</t>
  </si>
  <si>
    <t xml:space="preserve">10.3390/en14061571</t>
  </si>
  <si>
    <t xml:space="preserve">19</t>
  </si>
  <si>
    <t xml:space="preserve">Resilience stress testing for critical infrastructure</t>
  </si>
  <si>
    <t xml:space="preserve">Linkov, Trump, Trump, Pescaroli et al.</t>
  </si>
  <si>
    <t xml:space="preserve">2022</t>
  </si>
  <si>
    <t xml:space="preserve">Stress testing + resilience metrics</t>
  </si>
  <si>
    <t xml:space="preserve">Stress testing architecture defined (scenarios, metrics, roles).</t>
  </si>
  <si>
    <t xml:space="preserve">Scenario-based decisions, but not executable triggers.</t>
  </si>
  <si>
    <t xml:space="preserve">Multi-infrastructure stress testing, but no operational coupling.</t>
  </si>
  <si>
    <t xml:space="preserve">Thresholds via stress scenarios, but not dynamic model.</t>
  </si>
  <si>
    <t xml:space="preserve">Stress indicators as observability, but not leading.</t>
  </si>
  <si>
    <t xml:space="preserve">Scenario planning is anticipatory, but not formalized as governance.</t>
  </si>
  <si>
    <t xml:space="preserve">Recovery time as metric, but not reversibility window as decision variable.</t>
  </si>
  <si>
    <t xml:space="preserve">"Stress testing improves preparedness but does not provide an operational governance framework for real-time threshold-based decision-making." [Linkov et al. 2022, IJDRR, p. 1]</t>
  </si>
  <si>
    <t xml:space="preserve">10.1016/j.ijdrr.2022.103106</t>
  </si>
  <si>
    <t xml:space="preserve">20</t>
  </si>
  <si>
    <t xml:space="preserve">Complex system governance: concept, challenges, and emerging research</t>
  </si>
  <si>
    <t xml:space="preserve">Keating, Katina et al.</t>
  </si>
  <si>
    <t xml:space="preserve">2014</t>
  </si>
  <si>
    <t xml:space="preserve">Generic (systems engineering)</t>
  </si>
  <si>
    <t xml:space="preserve">System governance principles + design</t>
  </si>
  <si>
    <t xml:space="preserve">Governance design principles for complex systems.</t>
  </si>
  <si>
    <t xml:space="preserve">Decision-making discussed, but not executable triggers.</t>
  </si>
  <si>
    <t xml:space="preserve">Generic, but no cross-sector interdependency mechanism.</t>
  </si>
  <si>
    <t xml:space="preserve">Complexity acknowledged, no threshold dynamics.</t>
  </si>
  <si>
    <t xml:space="preserve">Monitoring mentioned, no leading indicators.</t>
  </si>
  <si>
    <t xml:space="preserve">Governance orientation, but not ex-ante timing.</t>
  </si>
  <si>
    <t xml:space="preserve">"Complex system governance is an emerging field; operational implementations for infrastructure interdependencies are not yet developed." [Keating et al. 2014, IJSSE, p. 1]</t>
  </si>
  <si>
    <t xml:space="preserve">10.1504/IJSSE.2014.065756</t>
  </si>
  <si>
    <t xml:space="preserve">21</t>
  </si>
  <si>
    <t xml:space="preserve">Governing complexity: Design principles for global catastrophic risks</t>
  </si>
  <si>
    <t xml:space="preserve">Kreienkamp, Pegram</t>
  </si>
  <si>
    <t xml:space="preserve">Generic (global risks)</t>
  </si>
  <si>
    <t xml:space="preserve">Design principles for complex governance</t>
  </si>
  <si>
    <t xml:space="preserve">Design principles for governance architecture.</t>
  </si>
  <si>
    <t xml:space="preserve">Principles for decision, but not executable triggers.</t>
  </si>
  <si>
    <t xml:space="preserve">Global risks are cross-sector, but no operational coupling.</t>
  </si>
  <si>
    <t xml:space="preserve">Complexity acknowledged, no threshold model.</t>
  </si>
  <si>
    <t xml:space="preserve">Anticipatory by design (catastrophic risk prevention).</t>
  </si>
  <si>
    <t xml:space="preserve">Irreversibility acknowledged, but not as operational variable.</t>
  </si>
  <si>
    <t xml:space="preserve">"Design principles are normative; operational frameworks for real-time threshold governance remain to be developed." [Kreienkamp &amp; Pegram 2021, ISR, p. 1]</t>
  </si>
  <si>
    <t xml:space="preserve">10.1093/isr/viab019</t>
  </si>
  <si>
    <t xml:space="preserve">22</t>
  </si>
  <si>
    <t xml:space="preserve">Emergence, institutionalization and renewal: rhythms of adaptive governance</t>
  </si>
  <si>
    <t xml:space="preserve">Chaffin, Gunderson</t>
  </si>
  <si>
    <t xml:space="preserve">2016</t>
  </si>
  <si>
    <t xml:space="preserve">Socio-ecological systems</t>
  </si>
  <si>
    <t xml:space="preserve">Panarchy + adaptive cycle</t>
  </si>
  <si>
    <t xml:space="preserve">Adaptive cycle as governance rhythm, not operational architecture.</t>
  </si>
  <si>
    <t xml:space="preserve">Institutional adaptation, but not executable triggers.</t>
  </si>
  <si>
    <t xml:space="preserve">Socio-ecological, not infrastructure interdependent.</t>
  </si>
  <si>
    <t xml:space="preserve">Adaptive cycle has thresholds (release, reorganization), but not operationalized.</t>
  </si>
  <si>
    <t xml:space="preserve">Monitoring part of adaptive management, not leading indicators.</t>
  </si>
  <si>
    <t xml:space="preserve">Adaptive governance is inherently anticipatory.</t>
  </si>
  <si>
    <t xml:space="preserve">Regime shifts acknowledged as potentially irreversible.</t>
  </si>
  <si>
    <t xml:space="preserve">"Adaptive governance describes institutional rhythms, not an operational protocol for infrastructure threshold management." [Chaffin &amp; Gunderson 2016, JEM, p. 1]</t>
  </si>
  <si>
    <t xml:space="preserve">10.1016/j.jenvman.2015.12.040</t>
  </si>
  <si>
    <t xml:space="preserve">23</t>
  </si>
  <si>
    <t xml:space="preserve">Recent advances in IoT solutions for early warning systems: A review</t>
  </si>
  <si>
    <t xml:space="preserve">Esposito, Palma, Belli, Sabbatini, Pierleoni</t>
  </si>
  <si>
    <t xml:space="preserve">Multi-domain (IoT)</t>
  </si>
  <si>
    <t xml:space="preserve">IoT sensors + communication protocols</t>
  </si>
  <si>
    <t xml:space="preserve">IoT architecture defined (sensors, gateways, cloud).</t>
  </si>
  <si>
    <t xml:space="preserve">Alert generation, but not governance decision protocol.</t>
  </si>
  <si>
    <t xml:space="preserve">Multi-domain IoT, but no cross-sector interdependency.</t>
  </si>
  <si>
    <t xml:space="preserve">Threshold-based alerts, but not dynamic proximity model.</t>
  </si>
  <si>
    <t xml:space="preserve">Leading indicators via IoT sensors; validated in domains.</t>
  </si>
  <si>
    <t xml:space="preserve">Early warning is anticipatory, but no governance activation.</t>
  </si>
  <si>
    <t xml:space="preserve">"IoT early warning systems generate alerts but do not integrate with institutional decision-making protocols for governance activation." [Esposito et al. 2022, Sensors, p. 1]</t>
  </si>
  <si>
    <t xml:space="preserve">10.3390/s22062124</t>
  </si>
  <si>
    <t xml:space="preserve">24</t>
  </si>
  <si>
    <t xml:space="preserve">Integration of local and scientific knowledge in EWS</t>
  </si>
  <si>
    <t xml:space="preserve">Hermans, Šakić Trogrlić et al.</t>
  </si>
  <si>
    <t xml:space="preserve">Disaster risk</t>
  </si>
  <si>
    <t xml:space="preserve">Knowledge co-production for EWS</t>
  </si>
  <si>
    <t xml:space="preserve">EWS architecture discussed, not operational governance.</t>
  </si>
  <si>
    <t xml:space="preserve">Community-based alerts, but not formal triggers.</t>
  </si>
  <si>
    <t xml:space="preserve">Multi-hazard, but not cross-sector interdependency.</t>
  </si>
  <si>
    <t xml:space="preserve">Hazard thresholds, not dynamic model.</t>
  </si>
  <si>
    <t xml:space="preserve">Local knowledge as observability complement.</t>
  </si>
  <si>
    <t xml:space="preserve">Early warning is anticipatory, but governance activation weak.</t>
  </si>
  <si>
    <t xml:space="preserve">"Early warning systems lack integration with decision-making protocols for governance activation." [Hermans et al. 2022, Natural Hazards, p. 1]</t>
  </si>
  <si>
    <t xml:space="preserve">10.1007/s11069-022-05468-8</t>
  </si>
  <si>
    <t xml:space="preserve">25</t>
  </si>
  <si>
    <t xml:space="preserve">Review of technical and socio-organizational components of earthquake EWS</t>
  </si>
  <si>
    <t xml:space="preserve">Velazquez, Pescaroli, Cremen et al.</t>
  </si>
  <si>
    <t xml:space="preserve">2020</t>
  </si>
  <si>
    <t xml:space="preserve">Seismic risk</t>
  </si>
  <si>
    <t xml:space="preserve">Seismic sensors + communication + response protocols</t>
  </si>
  <si>
    <t xml:space="preserve">EWS architecture (sensors, processing, distribution).</t>
  </si>
  <si>
    <t xml:space="preserve">Automated alerts with response protocols (e.g., stop trains).</t>
  </si>
  <si>
    <t xml:space="preserve">Seismic only, no cross-sector.</t>
  </si>
  <si>
    <t xml:space="preserve">P-wave detection as dynamic threshold (seconds to minutes).</t>
  </si>
  <si>
    <t xml:space="preserve">Validated leading indicators (P-wave detection before S-wave).</t>
  </si>
  <si>
    <t xml:space="preserve">Seconds to minutes of pre-event time; automated response.</t>
  </si>
  <si>
    <t xml:space="preserve">Not addressed (assumes damage is the risk, not irreversibility).</t>
  </si>
  <si>
    <t xml:space="preserve">"Earthquake early warning systems provide seconds to minutes of lead time for automated protective actions, but do not address cross-sector governance or irreversibility windows." [Velazquez et al. 2020, Frontiers Earth Science, p. 1]</t>
  </si>
  <si>
    <t xml:space="preserve">10.3389/feart.2020.533498</t>
  </si>
  <si>
    <t xml:space="preserve">26</t>
  </si>
  <si>
    <t xml:space="preserve">Regulating systemic risk: towards an analytical framework</t>
  </si>
  <si>
    <t xml:space="preserve">Anabtawi, Schwarcz</t>
  </si>
  <si>
    <t xml:space="preserve">working paper</t>
  </si>
  <si>
    <t xml:space="preserve">Finance / Law</t>
  </si>
  <si>
    <t xml:space="preserve">Regulatory design (capital, liquidity, resolution)</t>
  </si>
  <si>
    <t xml:space="preserve">Regulatory architecture proposed (capital, liquidity, resolution).</t>
  </si>
  <si>
    <t xml:space="preserve">Regulatory triggers (capital ratios, prompt corrective action).</t>
  </si>
  <si>
    <t xml:space="preserve">Systemic risk as contagion, not dynamic threshold.</t>
  </si>
  <si>
    <t xml:space="preserve">Monitoring via capital ratios, but not leading indicators.</t>
  </si>
  <si>
    <t xml:space="preserve">Preventive regulation (ex-ante).</t>
  </si>
  <si>
    <t xml:space="preserve">"The framework is analytical and regulatory, not operational for real-time threshold-based governance." [Anabtawi &amp; Schwarcz 2011, Notre Dame L. Rev., p. 1]</t>
  </si>
  <si>
    <t xml:space="preserve">SSRN 1735025</t>
  </si>
  <si>
    <t xml:space="preserve">27</t>
  </si>
  <si>
    <t xml:space="preserve">Governing cascade failures in complex SETS</t>
  </si>
  <si>
    <t xml:space="preserve">Ruhl</t>
  </si>
  <si>
    <t xml:space="preserve">Social-ecological-technological systems</t>
  </si>
  <si>
    <t xml:space="preserve">Governance strategies for cascades</t>
  </si>
  <si>
    <t xml:space="preserve">Governance strategies (islanding, severing links), not full architecture.</t>
  </si>
  <si>
    <t xml:space="preserve">Strategic recommendations, not executable triggers.</t>
  </si>
  <si>
    <t xml:space="preserve">SETS inherently cross-sector (social, ecological, technological).</t>
  </si>
  <si>
    <t xml:space="preserve">Cascading thresholds discussed, but not dynamic model.</t>
  </si>
  <si>
    <t xml:space="preserve">Strategic, not operational timing.</t>
  </si>
  <si>
    <t xml:space="preserve">"The governance strategies outlined are strategic and institutional, not operational protocols for real-time decision-making." [Ruhl 2019, SSRN 3471945, p. 1]</t>
  </si>
  <si>
    <t xml:space="preserve">SSRN 3471945</t>
  </si>
  <si>
    <t xml:space="preserve">28</t>
  </si>
  <si>
    <t xml:space="preserve">The emergence of global systemic risk</t>
  </si>
  <si>
    <t xml:space="preserve">Centeno, Nag, Patterson et al.</t>
  </si>
  <si>
    <t xml:space="preserve">Global (multi-domain)</t>
  </si>
  <si>
    <t xml:space="preserve">Contagion + coupling analysis</t>
  </si>
  <si>
    <t xml:space="preserve">Conceptual framework, not operational architecture.</t>
  </si>
  <si>
    <t xml:space="preserve">Global systemic risk across domains (finance, health, climate, infrastructure).</t>
  </si>
  <si>
    <t xml:space="preserve">Contagion thresholds, but not dynamic proximity model.</t>
  </si>
  <si>
    <t xml:space="preserve">Network analysis as observability, but not leading indicators.</t>
  </si>
  <si>
    <t xml:space="preserve">"The paper maps the emergence of global systemic risk but does not propose an operational governance framework." [Centeno et al. 2015, ARS, p. 1]</t>
  </si>
  <si>
    <t xml:space="preserve">10.1146/annurev-soc-073014-112317</t>
  </si>
  <si>
    <t xml:space="preserve">29</t>
  </si>
  <si>
    <t xml:space="preserve">Enhancing resilience of systems to individual and systemic risk</t>
  </si>
  <si>
    <t xml:space="preserve">Hochrainer-Stigler, Colon, Boza et al.</t>
  </si>
  <si>
    <t xml:space="preserve">Multi-risk</t>
  </si>
  <si>
    <t xml:space="preserve">Network restructuring + resilience metrics</t>
  </si>
  <si>
    <t xml:space="preserve">Integrative framework proposed, but not operational architecture.</t>
  </si>
  <si>
    <t xml:space="preserve">Network restructuring as strategy, but not executable trigger.</t>
  </si>
  <si>
    <t xml:space="preserve">Multi-risk, but no operational cross-sector coupling.</t>
  </si>
  <si>
    <t xml:space="preserve">Systemic risk thresholds via network analysis.</t>
  </si>
  <si>
    <t xml:space="preserve">Network metrics as observability.</t>
  </si>
  <si>
    <t xml:space="preserve">Preventive restructuring, but not formalized ex-ante governance.</t>
  </si>
  <si>
    <t xml:space="preserve">Resilience implies reversibility, but not as explicit variable.</t>
  </si>
  <si>
    <t xml:space="preserve">"This is a step toward an integrative framework, but operational governance mechanisms remain to be developed." [Hochrainer-Stigler et al. 2020, IJDRR, p. 1]</t>
  </si>
  <si>
    <t xml:space="preserve">10.1016/j.ijdrr.2020.101734</t>
  </si>
  <si>
    <t xml:space="preserve">30</t>
  </si>
  <si>
    <t xml:space="preserve">Systemic risk from a disaster management perspective: A review</t>
  </si>
  <si>
    <t xml:space="preserve">Mitra, Shaw</t>
  </si>
  <si>
    <t xml:space="preserve">2023</t>
  </si>
  <si>
    <t xml:space="preserve">Integrated framework for systemic risk + DRR</t>
  </si>
  <si>
    <t xml:space="preserve">Integrated framework proposed (systemic risk + DRR).</t>
  </si>
  <si>
    <t xml:space="preserve">DRR strategies, but not executable triggers.</t>
  </si>
  <si>
    <t xml:space="preserve">Multi-sector by design (disaster risk).</t>
  </si>
  <si>
    <t xml:space="preserve">Systemic risk as cascading, but not dynamic threshold model.</t>
  </si>
  <si>
    <t xml:space="preserve">Risk assessment as observability, but not leading indicators.</t>
  </si>
  <si>
    <t xml:space="preserve">DRR includes prevention, but not formalized as ex-ante governance.</t>
  </si>
  <si>
    <t xml:space="preserve">"The framework integrates systemic risk into disaster risk reduction but does not provide an operational protocol for threshold-based governance." [Mitra &amp; Shaw 2023, ESP, p. 1]</t>
  </si>
  <si>
    <t xml:space="preserve">10.1016/j.envsci.2022.12.001</t>
  </si>
  <si>
    <t xml:space="preserve">31</t>
  </si>
  <si>
    <t xml:space="preserve">Progressing research on systemic risk, cascading disasters, compound events</t>
  </si>
  <si>
    <t xml:space="preserve">Pescaroli, Suppasri, Galbusera</t>
  </si>
  <si>
    <t xml:space="preserve">2024</t>
  </si>
  <si>
    <t xml:space="preserve">Compound event analysis + cascading risk</t>
  </si>
  <si>
    <t xml:space="preserve">Research agenda, not operational architecture.</t>
  </si>
  <si>
    <t xml:space="preserve">Recommendations for action, but not executable triggers.</t>
  </si>
  <si>
    <t xml:space="preserve">Compound events inherently cross-sector.</t>
  </si>
  <si>
    <t xml:space="preserve">Cascading thresholds, but not dynamic model.</t>
  </si>
  <si>
    <t xml:space="preserve">Monitoring compound events, but not leading indicators.</t>
  </si>
  <si>
    <t xml:space="preserve">Prevention recommended, but not formalized.</t>
  </si>
  <si>
    <t xml:space="preserve">"Future research should address the operational governance of compound and cascading risks." [Pescaroli et al. 2024, Progress in Disaster Science, p. 1]</t>
  </si>
  <si>
    <t xml:space="preserve">10.1016/j.pdisas.2024.100290</t>
  </si>
  <si>
    <t xml:space="preserve">32</t>
  </si>
  <si>
    <t xml:space="preserve">A systemic risk assessment methodological framework for the global polycrisis</t>
  </si>
  <si>
    <t xml:space="preserve">Gambhir, Albert, Doe, Donges et al.</t>
  </si>
  <si>
    <t xml:space="preserve">2025</t>
  </si>
  <si>
    <t xml:space="preserve">unknown (verify)</t>
  </si>
  <si>
    <t xml:space="preserve">Network analysis + scenario modeling + monitoring</t>
  </si>
  <si>
    <t xml:space="preserve">Methodological framework with monitoring, roles, process.</t>
  </si>
  <si>
    <t xml:space="preserve">Global polycrisis: inherently cross-sector.</t>
  </si>
  <si>
    <t xml:space="preserve">Monitoring and learning as observability.</t>
  </si>
  <si>
    <t xml:space="preserve">Monitoring, learning, adapting — includes ex-ante orientation.</t>
  </si>
  <si>
    <t xml:space="preserve">Irreversibility mentioned, but not as decision variable.</t>
  </si>
  <si>
    <t xml:space="preserve">"The framework includes monitoring and learning, but an operational governance mechanism for real-time threshold-based decision-making remains to be developed." [Gambhir et al. 2025, Nature Communications, p. 1]</t>
  </si>
  <si>
    <t xml:space="preserve">10.1038/s41467-025-62029-w</t>
  </si>
  <si>
    <t xml:space="preserve">33</t>
  </si>
  <si>
    <t xml:space="preserve">Principles for just and effective systemic risk governance</t>
  </si>
  <si>
    <t xml:space="preserve">Richardson, Hendel-Blackford, Benini et al.</t>
  </si>
  <si>
    <t xml:space="preserve">2026</t>
  </si>
  <si>
    <t xml:space="preserve">preprint</t>
  </si>
  <si>
    <t xml:space="preserve">10 principles for polycrisis governance</t>
  </si>
  <si>
    <t xml:space="preserve">Principles, not operational architecture.</t>
  </si>
  <si>
    <t xml:space="preserve">Polycrisis is cross-sector by definition.</t>
  </si>
  <si>
    <t xml:space="preserve">Systemic risk mentioned, no dynamic threshold.</t>
  </si>
  <si>
    <t xml:space="preserve">Monitoring as principle, no leading indicators.</t>
  </si>
  <si>
    <t xml:space="preserve">Anticipatory as principle.</t>
  </si>
  <si>
    <t xml:space="preserve">Justice and irreversibility as principle, not variable.</t>
  </si>
  <si>
    <t xml:space="preserve">"These are normative principles; operational frameworks must be developed to implement them." [Richardson et al. 2026, Global Sustainability, p. 1]</t>
  </si>
  <si>
    <t xml:space="preserve">Cambridge Core (2026) — PREPRINT: verify DOI, peer review status before citing</t>
  </si>
  <si>
    <t xml:space="preserve">34</t>
  </si>
  <si>
    <t xml:space="preserve">Systemic risks: a new challenge for risk management</t>
  </si>
  <si>
    <t xml:space="preserve">Renn, Klinke</t>
  </si>
  <si>
    <t xml:space="preserve">2004</t>
  </si>
  <si>
    <t xml:space="preserve">Generic risk</t>
  </si>
  <si>
    <t xml:space="preserve">Risk classification (probability, damage, ubiquity, persistence, reversibility)</t>
  </si>
  <si>
    <t xml:space="preserve">Risk classification framework, not operational architecture.</t>
  </si>
  <si>
    <t xml:space="preserve">Generic, but no cross-sector mechanism.</t>
  </si>
  <si>
    <t xml:space="preserve">Risk dimensions, not dynamic threshold.</t>
  </si>
  <si>
    <t xml:space="preserve">Monitoring implied, no leading indicators.</t>
  </si>
  <si>
    <t xml:space="preserve">Precautionary principle mentioned.</t>
  </si>
  <si>
    <t xml:space="preserve">Reversibility as CLASSIFICATION criterion (high/low), not as decision variable.</t>
  </si>
  <si>
    <t xml:space="preserve">"The framework classifies risks but does not prescribe operational governance mechanisms for acting on systemic risks before irreversibility." [Renn &amp; Klinke 2004, EMBO Reports, p. 1]</t>
  </si>
  <si>
    <t xml:space="preserve">10.1038/sj.embor.7400227</t>
  </si>
  <si>
    <t xml:space="preserve">35</t>
  </si>
  <si>
    <t xml:space="preserve">New challenges for risk analysis: systemic risks</t>
  </si>
  <si>
    <t xml:space="preserve">Renn</t>
  </si>
  <si>
    <t xml:space="preserve">Risk governance model for systemic risks</t>
  </si>
  <si>
    <t xml:space="preserve">Risk governance model, not operational architecture.</t>
  </si>
  <si>
    <t xml:space="preserve">Governance recommendations, not executable triggers.</t>
  </si>
  <si>
    <t xml:space="preserve">Systemic risk dimensions, not dynamic threshold.</t>
  </si>
  <si>
    <t xml:space="preserve">Precautionary governance mentioned.</t>
  </si>
  <si>
    <t xml:space="preserve">Reversibility as classification criterion.</t>
  </si>
  <si>
    <t xml:space="preserve">"Systemic risks require new governance approaches, but operational frameworks for threshold-based intervention remain underdeveloped." [Renn 2021, JRR, p. 1]</t>
  </si>
  <si>
    <t xml:space="preserve">10.1080/13669877.2020.1779787</t>
  </si>
  <si>
    <t xml:space="preserve">36</t>
  </si>
  <si>
    <t xml:space="preserve">Optimal interdependence between networks for cooperation</t>
  </si>
  <si>
    <t xml:space="preserve">Wang, Szolnoki, Perc</t>
  </si>
  <si>
    <t xml:space="preserve">Coupled-network game theory</t>
  </si>
  <si>
    <t xml:space="preserve">Generic interdependent networks.</t>
  </si>
  <si>
    <t xml:space="preserve">Percolation threshold as critical point.</t>
  </si>
  <si>
    <t xml:space="preserve">No observability.</t>
  </si>
  <si>
    <t xml:space="preserve">"The model optimizes interdependence for cooperation but does not address governance, observability, or operational decision-making." [Wang et al. 2013, Sci. Rep., p. 1]</t>
  </si>
  <si>
    <t xml:space="preserve">10.1038/srep02470</t>
  </si>
  <si>
    <t xml:space="preserve">37</t>
  </si>
  <si>
    <t xml:space="preserve">Interdependent networks: vulnerability analysis and strategies</t>
  </si>
  <si>
    <t xml:space="preserve">Fu, Dawson, Khoury, Bullock</t>
  </si>
  <si>
    <t xml:space="preserve">Infrastructure (generic)</t>
  </si>
  <si>
    <t xml:space="preserve">Coupled-network vulnerability analysis</t>
  </si>
  <si>
    <t xml:space="preserve">Vulnerability analysis framework, not operational architecture.</t>
  </si>
  <si>
    <t xml:space="preserve">Interdependent networks by design.</t>
  </si>
  <si>
    <t xml:space="preserve">Cascading failure thresholds.</t>
  </si>
  <si>
    <t xml:space="preserve">"Strategies to limit cascading failure are proposed, but an operational governance framework is not developed." [Fu et al. 2014, EPJ B, p. 1]</t>
  </si>
  <si>
    <t xml:space="preserve">10.1140/epjb/e2014-40876-y</t>
  </si>
  <si>
    <t xml:space="preserve">38</t>
  </si>
  <si>
    <t xml:space="preserve">Modeling and managing resilience and risk for interdependent networks</t>
  </si>
  <si>
    <t xml:space="preserve">Aros-Vera, Thekdi</t>
  </si>
  <si>
    <t xml:space="preserve">Data-informed decision-making for interdependent networks</t>
  </si>
  <si>
    <t xml:space="preserve">Data-informed framework, partial architecture.</t>
  </si>
  <si>
    <t xml:space="preserve">Decision-making mentioned, but not executable triggers.</t>
  </si>
  <si>
    <t xml:space="preserve">Risk thresholds, but not dynamic proximity.</t>
  </si>
  <si>
    <t xml:space="preserve">Data as observability.</t>
  </si>
  <si>
    <t xml:space="preserve">Risk management includes prevention, but not formalized ex-ante.</t>
  </si>
  <si>
    <t xml:space="preserve">"Data-informed decision-making is mentioned, but a complete operational framework for real-time threshold governance remains to be developed." [Aros-Vera &amp; Thekdi 2025, SEPS, p. 1]</t>
  </si>
  <si>
    <t xml:space="preserve">10.1016/j.seps.2024.03.001</t>
  </si>
  <si>
    <t xml:space="preserve">Provisional — YEAR/DOI MISMATCH (verify)</t>
  </si>
  <si>
    <t xml:space="preserve">39</t>
  </si>
  <si>
    <t xml:space="preserve">Monitoring systemic risk based on dynamic thresholds</t>
  </si>
  <si>
    <t xml:space="preserve">Lund-Jensen</t>
  </si>
  <si>
    <t xml:space="preserve">2012</t>
  </si>
  <si>
    <t xml:space="preserve">Dynamic threshold model for systemic risk monitoring</t>
  </si>
  <si>
    <t xml:space="preserve">Monitoring architecture defined.</t>
  </si>
  <si>
    <t xml:space="preserve">Dynamic threshold triggers for capital buffers.</t>
  </si>
  <si>
    <t xml:space="preserve">Dynamic thresholds (time-varying).</t>
  </si>
  <si>
    <t xml:space="preserve">Leading indicators with pre-event detection.</t>
  </si>
  <si>
    <t xml:space="preserve">Countercyclical timing, but not always explicit pre-threshold.</t>
  </si>
  <si>
    <t xml:space="preserve">Financial losses assumed reversible.</t>
  </si>
  <si>
    <t xml:space="preserve">"The model is designed for financial systemic risk monitoring and does not address cross-sector physical infrastructure." [Lund-Jensen 2012, p. 1]</t>
  </si>
  <si>
    <t xml:space="preserve">Google Books (Lund-Jensen 2012)</t>
  </si>
  <si>
    <t xml:space="preserve">40</t>
  </si>
  <si>
    <t xml:space="preserve">Designing early warning systems for detecting systemic risk</t>
  </si>
  <si>
    <t xml:space="preserve">Wever, Shah, O'Leary</t>
  </si>
  <si>
    <t xml:space="preserve">Generic (risk management)</t>
  </si>
  <si>
    <t xml:space="preserve">EWS design + signal detection</t>
  </si>
  <si>
    <t xml:space="preserve">EWS architecture defined.</t>
  </si>
  <si>
    <t xml:space="preserve">Alert generation, but not governance activation triggers.</t>
  </si>
  <si>
    <t xml:space="preserve">Generic, but no cross-sector coupling.</t>
  </si>
  <si>
    <t xml:space="preserve">Signal detection thresholds.</t>
  </si>
  <si>
    <t xml:space="preserve">Early warning is inherently ex-ante, but governance activation weak.</t>
  </si>
  <si>
    <t xml:space="preserve">"Early warning systems detect systemic risk but do not integrate with institutional decision-making protocols for governance activation." [Wever et al. 2022, Futures, p. 1]</t>
  </si>
  <si>
    <t xml:space="preserve">10.1016/j.futures.2021.102791</t>
  </si>
  <si>
    <t xml:space="preserve">41</t>
  </si>
  <si>
    <t xml:space="preserve">Anticipatory governance for social-ecological resilience</t>
  </si>
  <si>
    <t xml:space="preserve">Boyd, Nykvist, Borgström, Stacewicz</t>
  </si>
  <si>
    <t xml:space="preserve">Multi-scale networks + technology + agency</t>
  </si>
  <si>
    <t xml:space="preserve">Governance orientation, not operational architecture.</t>
  </si>
  <si>
    <t xml:space="preserve">Deliberation and foresight, not executable triggers.</t>
  </si>
  <si>
    <t xml:space="preserve">Multi-scale, but not cross-sector infrastructure.</t>
  </si>
  <si>
    <t xml:space="preserve">Adaptive cycle thresholds, not operationalized.</t>
  </si>
  <si>
    <t xml:space="preserve">Monitoring part of adaptive management.</t>
  </si>
  <si>
    <t xml:space="preserve">Anticipation is the core concept; acts before crisis.</t>
  </si>
  <si>
    <t xml:space="preserve">Regime shifts acknowledged, not as decision variable.</t>
  </si>
  <si>
    <t xml:space="preserve">"Anticipatory governance is a theoretical orientation for socio-ecological systems, not an operational protocol for infrastructure." [Boyd et al. 2015, Ambio, p. 1]</t>
  </si>
  <si>
    <t xml:space="preserve">10.1007/s13280-014-0604-x</t>
  </si>
  <si>
    <t xml:space="preserve">42</t>
  </si>
  <si>
    <t xml:space="preserve">Four approaches to anticipatory climate governance</t>
  </si>
  <si>
    <t xml:space="preserve">Muiderman, Gupta, Vervoort et al.</t>
  </si>
  <si>
    <t xml:space="preserve">Climate governance</t>
  </si>
  <si>
    <t xml:space="preserve">Foresight + deliberation + adaptation</t>
  </si>
  <si>
    <t xml:space="preserve">Governance approaches, not operational architecture.</t>
  </si>
  <si>
    <t xml:space="preserve">Deliberation, not executable triggers.</t>
  </si>
  <si>
    <t xml:space="preserve">Climate governance, not cross-sector infrastructure.</t>
  </si>
  <si>
    <t xml:space="preserve">Climate thresholds, not operationalized.</t>
  </si>
  <si>
    <t xml:space="preserve">Anticipatory is the core concept.</t>
  </si>
  <si>
    <t xml:space="preserve">Irreversibility acknowledged (climate tipping points).</t>
  </si>
  <si>
    <t xml:space="preserve">"Anticipatory climate governance provides approaches for long-term planning, not operational protocols for real-time threshold-based decision-making." [Muiderman et al. 2020, WIREs Climate Change, p. 1]</t>
  </si>
  <si>
    <t xml:space="preserve">10.1002/wcc.673</t>
  </si>
  <si>
    <t xml:space="preserve">43</t>
  </si>
  <si>
    <t xml:space="preserve">Anticipatory governance practical upgrades</t>
  </si>
  <si>
    <t xml:space="preserve">Fuerth, Faber</t>
  </si>
  <si>
    <t xml:space="preserve">Government (executive)</t>
  </si>
  <si>
    <t xml:space="preserve">Foresight + strategic planning + institutional design</t>
  </si>
  <si>
    <t xml:space="preserve">Institutional design for foresight (NDU model).</t>
  </si>
  <si>
    <t xml:space="preserve">Strategic planning, not executable triggers.</t>
  </si>
  <si>
    <t xml:space="preserve">Government-wide, but not cross-sector infrastructure.</t>
  </si>
  <si>
    <t xml:space="preserve">No threshold model.</t>
  </si>
  <si>
    <t xml:space="preserve">Environmental scanning as observability.</t>
  </si>
  <si>
    <t xml:space="preserve">Anticipatory governance is the core objective.</t>
  </si>
  <si>
    <t xml:space="preserve">Long-term risk assessment includes irreversibility.</t>
  </si>
  <si>
    <t xml:space="preserve">"Anticipatory governance upgrades are designed for executive strategic planning, not for operational infrastructure management." [Fuerth &amp; Faber 2012, NDU, p. 1]</t>
  </si>
  <si>
    <t xml:space="preserve">DTIC ADA585519</t>
  </si>
  <si>
    <t xml:space="preserve">44</t>
  </si>
  <si>
    <t xml:space="preserve">Toward anticipatory governance: the experience with nanotechnology</t>
  </si>
  <si>
    <t xml:space="preserve">Karinen, Guston</t>
  </si>
  <si>
    <t xml:space="preserve">Technology governance</t>
  </si>
  <si>
    <t xml:space="preserve">Real-time technology assessment + deliberation</t>
  </si>
  <si>
    <t xml:space="preserve">Real-time TA as governance mechanism, not full architecture.</t>
  </si>
  <si>
    <t xml:space="preserve">Nanotechnology only.</t>
  </si>
  <si>
    <t xml:space="preserve">Monitoring technology development.</t>
  </si>
  <si>
    <t xml:space="preserve">Anticipatory by design (early engagement).</t>
  </si>
  <si>
    <t xml:space="preserve">Irreversibility concerns (environmental, health).</t>
  </si>
  <si>
    <t xml:space="preserve">"Anticipatory governance for nanotechnology is a theoretical and experimental approach, not an operational protocol for infrastructure systems." [Karinen &amp; Guston 2009, p. 1]</t>
  </si>
  <si>
    <t xml:space="preserve">10.1007/978-90-481-2834-1_12</t>
  </si>
  <si>
    <t xml:space="preserve">45</t>
  </si>
  <si>
    <t xml:space="preserve">Beyond Remediation: An Irreversibility Threshold for Preventive AI Governance</t>
  </si>
  <si>
    <t xml:space="preserve">Duseja</t>
  </si>
  <si>
    <t xml:space="preserve">adjacent (ML cutoff)</t>
  </si>
  <si>
    <t xml:space="preserve">AI governance</t>
  </si>
  <si>
    <t xml:space="preserve">Irreversibility threshold as governance criterion</t>
  </si>
  <si>
    <t xml:space="preserve">Governance architecture proposed for AI, not infrastructure.</t>
  </si>
  <si>
    <t xml:space="preserve">Threshold-based decision, but not executable triggers.</t>
  </si>
  <si>
    <t xml:space="preserve">AI only.</t>
  </si>
  <si>
    <t xml:space="preserve">Irreversibility threshold as dynamic concept.</t>
  </si>
  <si>
    <t xml:space="preserve">Monitoring AI capabilities, not leading indicators.</t>
  </si>
  <si>
    <t xml:space="preserve">Preventive governance before irreversibility.</t>
  </si>
  <si>
    <t xml:space="preserve">Irreversibility window as EXPLICIT DECISION VARIABLE.</t>
  </si>
  <si>
    <t xml:space="preserve">"The framework is designed for AI governance, not for physical infrastructure interdependencies." [Duseja 2026, SSRN 6384060, p. 1] — PREPRINT: verify peer review</t>
  </si>
  <si>
    <t xml:space="preserve">SSRN 6384060 (2026) — PREPRINT</t>
  </si>
  <si>
    <t xml:space="preserve">46</t>
  </si>
  <si>
    <t xml:space="preserve">A Governance-First Framework for Risk-Controlled AI Decision Systems</t>
  </si>
  <si>
    <t xml:space="preserve">Kalafatoglu</t>
  </si>
  <si>
    <t xml:space="preserve">Governance-first + risk control + irreversibility management</t>
  </si>
  <si>
    <t xml:space="preserve">Governance-first architecture for AI systems.</t>
  </si>
  <si>
    <t xml:space="preserve">Risk-controlled triggers, but not fully executable.</t>
  </si>
  <si>
    <t xml:space="preserve">AI systems only.</t>
  </si>
  <si>
    <t xml:space="preserve">Risk thresholds for AI decisions.</t>
  </si>
  <si>
    <t xml:space="preserve">Monitoring AI behavior, not leading indicators.</t>
  </si>
  <si>
    <t xml:space="preserve">Governance-first implies ex-ante orientation.</t>
  </si>
  <si>
    <t xml:space="preserve">Irreversibility management included, but not as explicit window.</t>
  </si>
  <si>
    <t xml:space="preserve">"The framework is designed for AI decision systems, not for cross-sector physical infrastructure." [Kalafatoglu 2026, SSRN 6506158, p. 1] — PREPRINT</t>
  </si>
  <si>
    <t xml:space="preserve">SSRN 6506158 (2026) — PREPRINT</t>
  </si>
  <si>
    <t xml:space="preserve">47</t>
  </si>
  <si>
    <t xml:space="preserve">The Transcritical Security Failure Law: governance before collapse</t>
  </si>
  <si>
    <t xml:space="preserve">Muthu</t>
  </si>
  <si>
    <t xml:space="preserve">Cybersecurity</t>
  </si>
  <si>
    <t xml:space="preserve">Transcriticality governance for cybersecurity</t>
  </si>
  <si>
    <t xml:space="preserve">Governance concept for cybersecurity, not full architecture.</t>
  </si>
  <si>
    <t xml:space="preserve">Strategic, not executable triggers.</t>
  </si>
  <si>
    <t xml:space="preserve">Cybersecurity only.</t>
  </si>
  <si>
    <t xml:space="preserve">Transcriticality as dynamic threshold concept.</t>
  </si>
  <si>
    <t xml:space="preserve">Monitoring security variables.</t>
  </si>
  <si>
    <t xml:space="preserve">Governance before collapse is the core concept.</t>
  </si>
  <si>
    <t xml:space="preserve">Collapse as irreversible, but not as decision variable.</t>
  </si>
  <si>
    <t xml:space="preserve">"The transcritical security failure law applies to cybersecurity governance, not to physical infrastructure interdependencies." [Muthu 2026, ResearchSquare, p. 1] — PREPRINT</t>
  </si>
  <si>
    <t xml:space="preserve">ResearchSquare rs-8808680 (2026) — PREPRINT</t>
  </si>
  <si>
    <t xml:space="preserve">48</t>
  </si>
  <si>
    <t xml:space="preserve">Governing Decisions of Probability Cutoffs in Clinical AI Deployment</t>
  </si>
  <si>
    <t xml:space="preserve">Zheng, Kshatriya, Ohde, Rost, Malik et al.</t>
  </si>
  <si>
    <t xml:space="preserve">Healthcare AI</t>
  </si>
  <si>
    <t xml:space="preserve">Threshold governance + clinical utility + stakeholder input</t>
  </si>
  <si>
    <t xml:space="preserve">Threshold governance architecture for clinical AI.</t>
  </si>
  <si>
    <t xml:space="preserve">Probability cutoff decisions with human oversight.</t>
  </si>
  <si>
    <t xml:space="preserve">Healthcare only.</t>
  </si>
  <si>
    <t xml:space="preserve">Probability thresholds as decision boundaries.</t>
  </si>
  <si>
    <t xml:space="preserve">Performance metrics as observability.</t>
  </si>
  <si>
    <t xml:space="preserve">Clinical decision support, not ex-ante governance.</t>
  </si>
  <si>
    <t xml:space="preserve">"The threshold governance framework is designed for clinical AI deployment, not for infrastructure systems." [Zheng et al. 2026, medRxiv, p. 1] — PREPRINT</t>
  </si>
  <si>
    <t xml:space="preserve">medRxiv 2026.03.18.26348562 (2026) — PREPRINT</t>
  </si>
  <si>
    <t xml:space="preserve">49</t>
  </si>
  <si>
    <t xml:space="preserve">Explainable and fair anti-money laundering models using SHAP</t>
  </si>
  <si>
    <t xml:space="preserve">Mazumder</t>
  </si>
  <si>
    <t xml:space="preserve">Finance (AML)</t>
  </si>
  <si>
    <t xml:space="preserve">Threshold-governance + SHAP explainability</t>
  </si>
  <si>
    <t xml:space="preserve">Threshold-governance architecture for AML.</t>
  </si>
  <si>
    <t xml:space="preserve">Model cutoff decisions for high-recall regime.</t>
  </si>
  <si>
    <t xml:space="preserve">Finance (AML) only.</t>
  </si>
  <si>
    <t xml:space="preserve">Probability thresholds for detection.</t>
  </si>
  <si>
    <t xml:space="preserve">SHAP explainability as observability.</t>
  </si>
  <si>
    <t xml:space="preserve">Detection-oriented, not ex-ante governance.</t>
  </si>
  <si>
    <t xml:space="preserve">"The threshold-governance framework is designed for anti-money laundering, not for cross-sector infrastructure." [Mazumder 2026, Disc. AI, p. 1] — PREPRINT</t>
  </si>
  <si>
    <t xml:space="preserve">Springer Disc. AI (2026) — PREPRINT</t>
  </si>
  <si>
    <t xml:space="preserve">50</t>
  </si>
  <si>
    <t xml:space="preserve">Risk governance: Concept and application to systemic risk</t>
  </si>
  <si>
    <t xml:space="preserve">2017</t>
  </si>
  <si>
    <t xml:space="preserve">Risk governance model (IRGC)</t>
  </si>
  <si>
    <t xml:space="preserve">IRGC framework, not operational architecture.</t>
  </si>
  <si>
    <t xml:space="preserve">Risk classification, not dynamic threshold.</t>
  </si>
  <si>
    <t xml:space="preserve">Precautionary principle included.</t>
  </si>
  <si>
    <t xml:space="preserve">"The IRGC framework provides a governance model but does not specify operational mechanisms for threshold-based intervention." [Renn 2017, Risk Conundrums, p. 1]</t>
  </si>
  <si>
    <t xml:space="preserve">10.4324/9781315665894-18</t>
  </si>
  <si>
    <t xml:space="preserve">51</t>
  </si>
  <si>
    <t xml:space="preserve">Environmental governance theories: a review and application to coastal systems</t>
  </si>
  <si>
    <t xml:space="preserve">Partelow, Schlüter, Armitage et al.</t>
  </si>
  <si>
    <t xml:space="preserve">Environmental governance</t>
  </si>
  <si>
    <t xml:space="preserve">Complexity + redundancy + adaptive governance</t>
  </si>
  <si>
    <t xml:space="preserve">Governance theory, not operational architecture.</t>
  </si>
  <si>
    <t xml:space="preserve">Adaptive governance, not executable triggers.</t>
  </si>
  <si>
    <t xml:space="preserve">Coastal systems, not cross-sector infrastructure.</t>
  </si>
  <si>
    <t xml:space="preserve">Adaptive governance is anticipatory.</t>
  </si>
  <si>
    <t xml:space="preserve">Regime shifts acknowledged.</t>
  </si>
  <si>
    <t xml:space="preserve">"Environmental governance theories provide analytical frameworks but not operational protocols for real-time threshold-based governance." [Partelow et al. 2020, E&amp;S, p. 1]</t>
  </si>
  <si>
    <t xml:space="preserve">10.5751/ES-11590-250228</t>
  </si>
  <si>
    <t xml:space="preserve">52</t>
  </si>
  <si>
    <t xml:space="preserve">Systems engineering to improve governance in complex project environments</t>
  </si>
  <si>
    <t xml:space="preserve">Locatelli, Mancini, Romano</t>
  </si>
  <si>
    <t xml:space="preserve">Project management / infrastructure</t>
  </si>
  <si>
    <t xml:space="preserve">Systems engineering + governance transformation</t>
  </si>
  <si>
    <t xml:space="preserve">Systems engineering approach to governance.</t>
  </si>
  <si>
    <t xml:space="preserve">Project governance, not executable triggers.</t>
  </si>
  <si>
    <t xml:space="preserve">Project-level, not cross-sector.</t>
  </si>
  <si>
    <t xml:space="preserve">Complexity management, no threshold model.</t>
  </si>
  <si>
    <t xml:space="preserve">Monitoring part of systems engineering.</t>
  </si>
  <si>
    <t xml:space="preserve">Project governance, not ex-ante.</t>
  </si>
  <si>
    <t xml:space="preserve">"Systems engineering improves project governance but does not address threshold dynamics or cross-sector interdependencies." [Locatelli et al. 2014, IJPM, p. 1]</t>
  </si>
  <si>
    <t xml:space="preserve">10.1016/j.ijproman.2013.10.005</t>
  </si>
  <si>
    <t xml:space="preserve">53</t>
  </si>
  <si>
    <t xml:space="preserve">Globally networked risks and how to respond</t>
  </si>
  <si>
    <t xml:space="preserve">Helbing</t>
  </si>
  <si>
    <t xml:space="preserve">Networked risk analysis + governance principles</t>
  </si>
  <si>
    <t xml:space="preserve">Governance principles proposed, not operational architecture.</t>
  </si>
  <si>
    <t xml:space="preserve">Principles for response, not executable triggers.</t>
  </si>
  <si>
    <t xml:space="preserve">Global networked risks are cross-sector.</t>
  </si>
  <si>
    <t xml:space="preserve">Cascading thresholds discussed, not dynamic model.</t>
  </si>
  <si>
    <t xml:space="preserve">Network analysis as observability.</t>
  </si>
  <si>
    <t xml:space="preserve">Response-oriented, not ex-ante.</t>
  </si>
  <si>
    <t xml:space="preserve">Irreversibility acknowledged (domino effects).</t>
  </si>
  <si>
    <t xml:space="preserve">"The paper proposes governance principles for globally networked risks but does not develop an operational framework for threshold-based decision-making." [Helbing 2013, Nature, p. 1]</t>
  </si>
  <si>
    <t xml:space="preserve">10.1038/nature12047</t>
  </si>
  <si>
    <t xml:space="preserve">54</t>
  </si>
  <si>
    <t xml:space="preserve">Systemic Risk Governance for DRM and Climate Change Adaptation</t>
  </si>
  <si>
    <t xml:space="preserve">Schweizer, Hofbauer, Einhäupl</t>
  </si>
  <si>
    <t xml:space="preserve">Disaster risk / climate</t>
  </si>
  <si>
    <t xml:space="preserve">Integrated, anticipatory, ethically grounded governance</t>
  </si>
  <si>
    <t xml:space="preserve">Ethical principles, not executable triggers.</t>
  </si>
  <si>
    <t xml:space="preserve">DRM and climate are cross-sector.</t>
  </si>
  <si>
    <t xml:space="preserve">Anticipatory and integrated.</t>
  </si>
  <si>
    <t xml:space="preserve">Ethical grounding includes irreversibility.</t>
  </si>
  <si>
    <t xml:space="preserve">"Systemic risk governance must evolve, but operational frameworks for real-time threshold-based decision-making remain to be developed." [Schweizer et al. 2025, Springer, p. 1]</t>
  </si>
  <si>
    <t xml:space="preserve">Springer chapter (2025) — verify DOI</t>
  </si>
  <si>
    <t xml:space="preserve">55</t>
  </si>
  <si>
    <t xml:space="preserve">AI, digital platforms, and the new systemic risk</t>
  </si>
  <si>
    <t xml:space="preserve">Hacker, Kasirzadeh, Edwards</t>
  </si>
  <si>
    <t xml:space="preserve">AI / digital platforms</t>
  </si>
  <si>
    <t xml:space="preserve">Systemic risk framework for AI and platforms</t>
  </si>
  <si>
    <t xml:space="preserve">Framework proposed, not operational architecture.</t>
  </si>
  <si>
    <t xml:space="preserve">AI and platforms are cross-domain.</t>
  </si>
  <si>
    <t xml:space="preserve">Systemic risk in AI platforms, not physical thresholds.</t>
  </si>
  <si>
    <t xml:space="preserve">Monitoring platform behavior.</t>
  </si>
  <si>
    <t xml:space="preserve">Risk governance, not ex-ante.</t>
  </si>
  <si>
    <t xml:space="preserve">Irreversibility of AI harms mentioned.</t>
  </si>
  <si>
    <t xml:space="preserve">"The framework is designed for AI and digital platforms, not for physical infrastructure interdependencies." [Hacker et al. 2025, arXiv 2509.17878, p. 1] — PREPRINT</t>
  </si>
  <si>
    <t xml:space="preserve">arXiv 2509.17878 (2025) — PREPRINT</t>
  </si>
  <si>
    <t xml:space="preserve">56</t>
  </si>
  <si>
    <t xml:space="preserve">Managing systemic risk in legal systems</t>
  </si>
  <si>
    <t xml:space="preserve">Legal systems</t>
  </si>
  <si>
    <t xml:space="preserve">Complexity science + legal governance</t>
  </si>
  <si>
    <t xml:space="preserve">Legal governance framework, not operational architecture.</t>
  </si>
  <si>
    <t xml:space="preserve">Legal mechanisms, not executable triggers.</t>
  </si>
  <si>
    <t xml:space="preserve">Legal systems only.</t>
  </si>
  <si>
    <t xml:space="preserve">Complexity model, no threshold dynamics.</t>
  </si>
  <si>
    <t xml:space="preserve">Monitoring legal system behavior.</t>
  </si>
  <si>
    <t xml:space="preserve">Legal governance, not ex-ante.</t>
  </si>
  <si>
    <t xml:space="preserve">"Legal systems are not designed for real-time threshold-based operational governance." [Ruhl 2013, Vanderbilt, p. 1]</t>
  </si>
  <si>
    <t xml:space="preserve">SSRN 2212212</t>
  </si>
  <si>
    <t xml:space="preserve">57</t>
  </si>
  <si>
    <t xml:space="preserve">Resilience of CI systems: systematic literature review of measurement frameworks</t>
  </si>
  <si>
    <t xml:space="preserve">Sathurshan, Saja, Thamboo, Haraguchi et al.</t>
  </si>
  <si>
    <t xml:space="preserve">Resilience measurement frameworks</t>
  </si>
  <si>
    <t xml:space="preserve">Multi-infrastructure, but no coupling.</t>
  </si>
  <si>
    <t xml:space="preserve">"Measurement frameworks for resilience do not provide operational governance mechanisms for pre-collapse intervention." [Sathurshan et al. 2022, Infrastructures, p. 1]</t>
  </si>
  <si>
    <t xml:space="preserve">10.3390/infrastructures7050067</t>
  </si>
  <si>
    <t xml:space="preserve">58</t>
  </si>
  <si>
    <t xml:space="preserve">Resilience of critical infrastructure elements and its main factors</t>
  </si>
  <si>
    <t xml:space="preserve">Rehak, Senovsky, Slivkova</t>
  </si>
  <si>
    <t xml:space="preserve">Resilience determinants + factors</t>
  </si>
  <si>
    <t xml:space="preserve">Factors identified, not operational architecture.</t>
  </si>
  <si>
    <t xml:space="preserve">Multi-infrastructure factors.</t>
  </si>
  <si>
    <t xml:space="preserve">Resilience factors, no threshold model.</t>
  </si>
  <si>
    <t xml:space="preserve">Monitoring factors, not leading indicators.</t>
  </si>
  <si>
    <t xml:space="preserve">"The review identifies resilience factors but does not propose an operational governance framework." [Rehak et al. 2018, Systems, p. 1]</t>
  </si>
  <si>
    <t xml:space="preserve">10.3390/systems6020021</t>
  </si>
  <si>
    <t xml:space="preserve">59</t>
  </si>
  <si>
    <t xml:space="preserve">Critical infrastructure and flood resilience: Cascading effects beyond water</t>
  </si>
  <si>
    <t xml:space="preserve">Fekete</t>
  </si>
  <si>
    <t xml:space="preserve">Flood risk / critical infrastructure</t>
  </si>
  <si>
    <t xml:space="preserve">Cascading effects + cross-cutting analysis</t>
  </si>
  <si>
    <t xml:space="preserve">Cross-cutting analysis, not operational architecture.</t>
  </si>
  <si>
    <t xml:space="preserve">Flood + infrastructure inherently cross-sector.</t>
  </si>
  <si>
    <t xml:space="preserve">Cascading thresholds, not dynamic model.</t>
  </si>
  <si>
    <t xml:space="preserve">Vulnerability analysis, not leading indicators.</t>
  </si>
  <si>
    <t xml:space="preserve">Flood risk management includes prevention.</t>
  </si>
  <si>
    <t xml:space="preserve">"The analysis of cascading effects is cross-cutting but does not provide an operational governance framework for threshold-based intervention." [Fekete 2019, WIREs Water, p. 1]</t>
  </si>
  <si>
    <t xml:space="preserve">10.1002/wat2.1370</t>
  </si>
  <si>
    <t xml:space="preserve">60</t>
  </si>
  <si>
    <t xml:space="preserve">Machine learning applications in ICIS resilience: systematic review</t>
  </si>
  <si>
    <t xml:space="preserve">Alkhaleel</t>
  </si>
  <si>
    <t xml:space="preserve">ML for resilience assessment + prediction</t>
  </si>
  <si>
    <t xml:space="preserve">ML methods, not operational architecture.</t>
  </si>
  <si>
    <t xml:space="preserve">Interdependent CI systems.</t>
  </si>
  <si>
    <t xml:space="preserve">ML for threshold prediction.</t>
  </si>
  <si>
    <t xml:space="preserve">ML as observability tool.</t>
  </si>
  <si>
    <t xml:space="preserve">"ML applications improve resilience assessment but do not integrate with governance decision-making protocols." [Alkhaleel 2024, IJCIP, p. 1]</t>
  </si>
  <si>
    <t xml:space="preserve">10.1016/j.ijcip.2023.100059</t>
  </si>
  <si>
    <t xml:space="preserve">Function codebook — score reflects what a work DEMONSTRATES, not what it claims</t>
  </si>
  <si>
    <t xml:space="preserve">Function</t>
  </si>
  <si>
    <t xml:space="preserve">0 — Absent</t>
  </si>
  <si>
    <t xml:space="preserve">1 — Conceptual</t>
  </si>
  <si>
    <t xml:space="preserve">2 — Partial/non-actionable</t>
  </si>
  <si>
    <t xml:space="preserve">3 — Complete &amp; actionable</t>
  </si>
  <si>
    <t xml:space="preserve">Boundary note</t>
  </si>
  <si>
    <t xml:space="preserve">F1 Operational Architecture</t>
  </si>
  <si>
    <t xml:space="preserve">No design</t>
  </si>
  <si>
    <t xml:space="preserve">Implementation discussed abstractly</t>
  </si>
  <si>
    <t xml:space="preserve">Indicators/steps, no action</t>
  </si>
  <si>
    <t xml:space="preserve">Triggers, roles, actions defined</t>
  </si>
  <si>
    <t xml:space="preserve">Design layer</t>
  </si>
  <si>
    <t xml:space="preserve">F2 Decision Protocol</t>
  </si>
  <si>
    <t xml:space="preserve">No protocol</t>
  </si>
  <si>
    <t xml:space="preserve">Recommends action</t>
  </si>
  <si>
    <t xml:space="preserve">Partial/informal trigger</t>
  </si>
  <si>
    <t xml:space="preserve">Executable trigger: who acts, on what criterion</t>
  </si>
  <si>
    <t xml:space="preserve">Mechanism, not timing</t>
  </si>
  <si>
    <t xml:space="preserve">F3 Cross-Sector Integration</t>
  </si>
  <si>
    <t xml:space="preserve">Single sector</t>
  </si>
  <si>
    <t xml:space="preserve">One sector, mentions others</t>
  </si>
  <si>
    <t xml:space="preserve">Two sectors coupled</t>
  </si>
  <si>
    <t xml:space="preserve">Generic to &gt;=3 interdependent sectors</t>
  </si>
  <si>
    <t xml:space="preserve">—</t>
  </si>
  <si>
    <t xml:space="preserve">F4 Threshold Dynamics</t>
  </si>
  <si>
    <t xml:space="preserve">No threshold</t>
  </si>
  <si>
    <t xml:space="preserve">Qualitative/metaphorical</t>
  </si>
  <si>
    <t xml:space="preserve">Quantified but static</t>
  </si>
  <si>
    <t xml:space="preserve">Dynamic: proximity, velocity, uncertainty</t>
  </si>
  <si>
    <t xml:space="preserve">NB: ML probability cutoff != threshold dynamics</t>
  </si>
  <si>
    <t xml:space="preserve">F5 Observability</t>
  </si>
  <si>
    <t xml:space="preserve">No monitoring</t>
  </si>
  <si>
    <t xml:space="preserve">Indicators proposed</t>
  </si>
  <si>
    <t xml:space="preserve">Validated in one domain</t>
  </si>
  <si>
    <t xml:space="preserve">Leading indicators + pre-event detection</t>
  </si>
  <si>
    <t xml:space="preserve">F6 Ex-Ante Governance</t>
  </si>
  <si>
    <t xml:space="preserve">Post-hoc/recovery</t>
  </si>
  <si>
    <t xml:space="preserve">Values acting early</t>
  </si>
  <si>
    <t xml:space="preserve">Partial preventive protocol</t>
  </si>
  <si>
    <t xml:space="preserve">Decision before critical point, explicit criteria</t>
  </si>
  <si>
    <t xml:space="preserve">Timing, not mechanism</t>
  </si>
  <si>
    <t xml:space="preserve">F7 Reversibility</t>
  </si>
  <si>
    <t xml:space="preserve">Ignores</t>
  </si>
  <si>
    <t xml:space="preserve">Cites irreversibility</t>
  </si>
  <si>
    <t xml:space="preserve">Distinguishes reversible/irreversible</t>
  </si>
  <si>
    <t xml:space="preserve">Reversibility window as decision variable</t>
  </si>
  <si>
    <t xml:space="preserve">Only F7=3 is an unverified AI preprint</t>
  </si>
  <si>
    <t xml:space="preserve">H3 — Functional co-presence matrix (computed by formula) v1.2</t>
  </si>
  <si>
    <t xml:space="preserve">RULE: "present" = score &gt;= 2 (substantive, actionable presence). Cells = CONDITIONAL share P(row present | column present) = count(both&gt;=2) / count(column&gt;=2). Diagonal = base rate count(&gt;=2).</t>
  </si>
  <si>
    <t xml:space="preserve">CRITICAL NOTE v1.2: This matrix measures CO-OCCURRENCE only. It does NOT establish:</t>
  </si>
  <si>
    <t xml:space="preserve">  • Causal direction (which function "causes" or "requires" another)</t>
  </si>
  <si>
    <t xml:space="preserve">  • Logical necessity (whether functions are structurally dependent)</t>
  </si>
  <si>
    <t xml:space="preserve">  • Derivational structure (whether one function can be derived from another)</t>
  </si>
  <si>
    <t xml:space="preserve">To evaluate H3 fully, additional evidence is needed: qualitative coding, logical analysis, structural derivation.</t>
  </si>
  <si>
    <t xml:space="preserve">METHODLOGICAL TENSION: The scoring protocol treats F1-F7 as independently codable. H3 tests whether this independence assumption is false. These operate at different epistemic levels.</t>
  </si>
  <si>
    <t xml:space="preserve">P(row | col)</t>
  </si>
  <si>
    <t xml:space="preserve">Diagonal = number of frameworks scoring &gt;=2 on that function (base rate).</t>
  </si>
  <si>
    <t xml:space="preserve">Dependency test for H3: read columns. If P(Fi | Fj) is high but P(Fj | Fi) is low, Fj tends to require Fi (directional dependency).</t>
  </si>
  <si>
    <t xml:space="preserve">Hypotheses — preliminary screening (n=60). NOT confirmation. v1.2</t>
  </si>
  <si>
    <t xml:space="preserve">Hypothesis</t>
  </si>
  <si>
    <t xml:space="preserve">Statement</t>
  </si>
  <si>
    <t xml:space="preserve">Preliminary reading</t>
  </si>
  <si>
    <t xml:space="preserve">H1</t>
  </si>
  <si>
    <t xml:space="preserve">No single framework satisfies all 7 integration functions.</t>
  </si>
  <si>
    <t xml:space="preserve">Preliminary pattern consistent with H1: 0/60 score &gt;=2 on all 7 (formula: Statistics). NB driven partly by type-mix; read within type class.</t>
  </si>
  <si>
    <t xml:space="preserve">Preliminary pattern (not confirmed)</t>
  </si>
  <si>
    <t xml:space="preserve">H2</t>
  </si>
  <si>
    <t xml:space="preserve">Shortfalls of the strongest frameworks are systematically opposed (sectoral depth vs cross-sector activation).</t>
  </si>
  <si>
    <t xml:space="preserve">Preliminary pattern consistent with H2: finance (ESRB, Lund-Jensen) strong F1/F2/F5 but F3=1; socio-ecological (Planetary, anticipatory gov.) strong F3/F6 but weak F1/F2.</t>
  </si>
  <si>
    <t xml:space="preserve">H3</t>
  </si>
  <si>
    <t xml:space="preserve">The 7 functions have a necessary dependency structure, not an arbitrary set.</t>
  </si>
  <si>
    <t xml:space="preserve">The co-presence analysis measures only ONE component of H3 (co-occurrence). It is INSUFFICIENT ALONE to evaluate the logical necessity or derivational structure claimed in H3. Additional evidence (qualitative coding, logical analysis, structural derivation) is required. See H3 Co-presence tab for co-occurrence data. Bayesian network analysis or DAG estimation may provide COMPLEMENTARY insight, but are not required to sustain or refute H3.</t>
  </si>
  <si>
    <t xml:space="preserve">To be tested (co-presence alone insufficient)</t>
  </si>
  <si>
    <t xml:space="preserve">CORPUS SUMMARY v1.3 — DESCRIPTIVE STATISTICS ONLY</t>
  </si>
  <si>
    <t xml:space="preserve">No interpretation. No causal claims. Frequencies, types, and publication metadata.</t>
  </si>
  <si>
    <t xml:space="preserve">A. DISTRIBUTION OF SCORES BY FUNCTION (ordinal frequencies)</t>
  </si>
  <si>
    <t xml:space="preserve">0 (Absent)</t>
  </si>
  <si>
    <t xml:space="preserve">1 (Conceptual)</t>
  </si>
  <si>
    <t xml:space="preserve">2 (Partial)</t>
  </si>
  <si>
    <t xml:space="preserve">3 (Complete)</t>
  </si>
  <si>
    <t xml:space="preserve">B. TYPE DISTRIBUTION (Type_v2)</t>
  </si>
  <si>
    <t xml:space="preserve">Type</t>
  </si>
  <si>
    <t xml:space="preserve">Count</t>
  </si>
  <si>
    <t xml:space="preserve">%</t>
  </si>
  <si>
    <t xml:space="preserve">43.3%</t>
  </si>
  <si>
    <t xml:space="preserve">21.7%</t>
  </si>
  <si>
    <t xml:space="preserve">15.0%</t>
  </si>
  <si>
    <t xml:space="preserve">13.3%</t>
  </si>
  <si>
    <t xml:space="preserve">3.3%</t>
  </si>
  <si>
    <t xml:space="preserve">1.7%</t>
  </si>
  <si>
    <t xml:space="preserve">100%</t>
  </si>
  <si>
    <t xml:space="preserve">C. PUBLICATION STATUS</t>
  </si>
  <si>
    <t xml:space="preserve">Flag</t>
  </si>
  <si>
    <t xml:space="preserve">71.7%</t>
  </si>
  <si>
    <t xml:space="preserve">✓</t>
  </si>
  <si>
    <t xml:space="preserve">11.7%</t>
  </si>
  <si>
    <t xml:space="preserve">⚠️ VERIFY</t>
  </si>
  <si>
    <t xml:space="preserve">6.7%</t>
  </si>
  <si>
    <t xml:space="preserve">5.0%</t>
  </si>
  <si>
    <t xml:space="preserve">D. CONSTRUCT SCOPE</t>
  </si>
  <si>
    <t xml:space="preserve">Scope</t>
  </si>
  <si>
    <t xml:space="preserve">Note</t>
  </si>
  <si>
    <t xml:space="preserve">90.0%</t>
  </si>
  <si>
    <t xml:space="preserve">Carry F3/F7 expectations</t>
  </si>
  <si>
    <t xml:space="preserve">10.0%</t>
  </si>
  <si>
    <t xml:space="preserve">Do not carry F3/F7 expectations</t>
  </si>
  <si>
    <t xml:space="preserve">E. SECTOR DISTRIBUTION</t>
  </si>
  <si>
    <t xml:space="preserve">8.3%</t>
  </si>
  <si>
    <t xml:space="preserve">F. YEAR DISTRIBUTION</t>
  </si>
  <si>
    <t xml:space="preserve">G. BASE RATES (count of frameworks scoring ≥ 2 per function)</t>
  </si>
  <si>
    <t xml:space="preserve">Count ≥ 2</t>
  </si>
  <si>
    <t xml:space="preserve">36.7%</t>
  </si>
  <si>
    <t xml:space="preserve">18.3%</t>
  </si>
  <si>
    <t xml:space="preserve">51.7%</t>
  </si>
  <si>
    <t xml:space="preserve">55.0%</t>
  </si>
  <si>
    <t xml:space="preserve">45.0%</t>
  </si>
  <si>
    <t xml:space="preserve">41.7%</t>
  </si>
  <si>
    <t xml:space="preserve">H. ALL-FUNCTION COVERAGE</t>
  </si>
  <si>
    <t xml:space="preserve">Criterion</t>
  </si>
  <si>
    <t xml:space="preserve">All 7 functions ≥ 2</t>
  </si>
  <si>
    <t xml:space="preserve">0.0%</t>
  </si>
  <si>
    <t xml:space="preserve">All 7 functions ≥ 1</t>
  </si>
  <si>
    <t xml:space="preserve">48.3%</t>
  </si>
  <si>
    <t xml:space="preserve">NOTE: All counts are descriptive. No causal or inferential claims.</t>
  </si>
  <si>
    <t xml:space="preserve">ANALYTICAL RESULTS v1.3 — INTERPRETATION SEPARATED FROM DESCRIPTION</t>
  </si>
  <si>
    <t xml:space="preserve">All claims here are interpretive. They require confirmation through full-text coding, verbatim extraction, and corpus expansion.</t>
  </si>
  <si>
    <t xml:space="preserve">1. PATTERN: Fragmentation by sectoral depth vs. cross-sector activation</t>
  </si>
  <si>
    <t xml:space="preserve">Observation</t>
  </si>
  <si>
    <t xml:space="preserve">Evidence</t>
  </si>
  <si>
    <t xml:space="preserve">Interpretation</t>
  </si>
  <si>
    <t xml:space="preserve">Confidence</t>
  </si>
  <si>
    <t xml:space="preserve">Needs confirmation</t>
  </si>
  <si>
    <t xml:space="preserve">Financial frameworks (ESRB, Adrian, Lund-Jensen) score high on F1, F2, F5, F6 but F3=1.</t>
  </si>
  <si>
    <t xml:space="preserve">IDs 1, 12, 39</t>
  </si>
  <si>
    <t xml:space="preserve">Finance has operational depth but no cross-sector coupling.</t>
  </si>
  <si>
    <t xml:space="preserve">Moderate (n=3)</t>
  </si>
  <si>
    <t xml:space="preserve">Expand finance corpus; verify if any finance framework crosses to F3≥2</t>
  </si>
  <si>
    <t xml:space="preserve">Socio-ecological frameworks (Planetary Boundaries, Anticipatory Gov.) score high on F3, F6 but low on F1, F2.</t>
  </si>
  <si>
    <t xml:space="preserve">IDs 2, 8, 41, 42</t>
  </si>
  <si>
    <t xml:space="preserve">Cross-sector vision exists but lacks operational architecture and executable triggers.</t>
  </si>
  <si>
    <t xml:space="preserve">Moderate (n=4)</t>
  </si>
  <si>
    <t xml:space="preserve">Verify if any socio-ecological framework has F1≥2 or F2≥2</t>
  </si>
  <si>
    <t xml:space="preserve">No framework bridges the gap between sectoral depth and cross-sector operationalization.</t>
  </si>
  <si>
    <t xml:space="preserve">0/60 have all 7 ≥ 2</t>
  </si>
  <si>
    <t xml:space="preserve">The gap may be structural, not merely a sampling artifact.</t>
  </si>
  <si>
    <t xml:space="preserve">Low (n=60)</t>
  </si>
  <si>
    <t xml:space="preserve">Expand to 150; test with different sampling strategy</t>
  </si>
  <si>
    <t xml:space="preserve">2. PATTERN: Decision Protocol (F2) and Reversibility (F7) are the most deficit functions</t>
  </si>
  <si>
    <t xml:space="preserve">F2 has 32 conceptual (1) vs 1 complete (3).</t>
  </si>
  <si>
    <t xml:space="preserve">Distribution table</t>
  </si>
  <si>
    <t xml:space="preserve">The literature talks about deciding but rarely operationalizes who decides, on what criterion, with what action.</t>
  </si>
  <si>
    <t xml:space="preserve">Moderate</t>
  </si>
  <si>
    <t xml:space="preserve">Full-text coding of F2=1 entries to see if they mention decision abstractly</t>
  </si>
  <si>
    <t xml:space="preserve">F7 has 26 conceptual (1) vs 1 complete (3), and that one is an AI preprint.</t>
  </si>
  <si>
    <t xml:space="preserve">Reversibility is recognized as a concept but almost never operationalized as a decision variable in infrastructure.</t>
  </si>
  <si>
    <t xml:space="preserve">Verify if any infrastructure framework (not AI) scores F7≥2</t>
  </si>
  <si>
    <t xml:space="preserve">F2 and F7 rarely co-occur at score ≥ 2.</t>
  </si>
  <si>
    <t xml:space="preserve">H3 Co-presence: P(F7|F2)=9.1%</t>
  </si>
  <si>
    <t xml:space="preserve">Decision protocols and reversibility thinking are functionally separate in the literature.</t>
  </si>
  <si>
    <t xml:space="preserve">Low</t>
  </si>
  <si>
    <t xml:space="preserve">Test with expanded corpus; may be sampling artifact</t>
  </si>
  <si>
    <t xml:space="preserve">3. PATTERN: Observability (F5) and Threshold Dynamics (F4) co-occur frequently</t>
  </si>
  <si>
    <t xml:space="preserve">P(F5|F4) = 60.6% and P(F4|F5) = 74.1%.</t>
  </si>
  <si>
    <t xml:space="preserve">H3 Co-presence matrix</t>
  </si>
  <si>
    <t xml:space="preserve">Frameworks that model thresholds tend to also propose indicators. This is a descriptive association, not a causal claim.</t>
  </si>
  <si>
    <t xml:space="preserve">Verify with full-text coding; check if F4 and F5 are measured in the same empirical system or separately</t>
  </si>
  <si>
    <t xml:space="preserve">4. PATTERN: Only one Operational System in the corpus</t>
  </si>
  <si>
    <t xml:space="preserve">Only ID 1 (ESRB/ECB) is classified as Operational System.</t>
  </si>
  <si>
    <t xml:space="preserve">Type_v2 count</t>
  </si>
  <si>
    <t xml:space="preserve">The corpus is heavily theoretical. Coverage claims must be read within type classes, not across the full set.</t>
  </si>
  <si>
    <t xml:space="preserve">High</t>
  </si>
  <si>
    <t xml:space="preserve">Verify if other frameworks should be reclassified; search for additional operational systems</t>
  </si>
  <si>
    <t xml:space="preserve">5. PATTERN: Adjacent constructs (ML/AI) do not fill the gap</t>
  </si>
  <si>
    <t xml:space="preserve">6 ML/AI preprints score on F1, F2, F4 but are isolated from infrastructure.</t>
  </si>
  <si>
    <t xml:space="preserve">IDs 45-49, 55</t>
  </si>
  <si>
    <t xml:space="preserve">The adjacent domain (AI governance) explores similar concepts but does not transfer to physical infrastructure interdependencies.</t>
  </si>
  <si>
    <t xml:space="preserve">Verify if any AI governance framework explicitly addresses infrastructure; check for cross-citation</t>
  </si>
  <si>
    <t xml:space="preserve">6. LIMITATIONS OF THIS ANALYSIS</t>
  </si>
  <si>
    <t xml:space="preserve">Limitation</t>
  </si>
  <si>
    <t xml:space="preserve">Impact</t>
  </si>
  <si>
    <t xml:space="preserve">Mitigation</t>
  </si>
  <si>
    <t xml:space="preserve">n=60 is small for pattern detection.</t>
  </si>
  <si>
    <t xml:space="preserve">Patterns may be sampling artifacts.</t>
  </si>
  <si>
    <t xml:space="preserve">Expand to ~150 frameworks.</t>
  </si>
  <si>
    <t xml:space="preserve">Scores are provisional (a-priori hypotheses).</t>
  </si>
  <si>
    <t xml:space="preserve">May not reflect full-text content.</t>
  </si>
  <si>
    <t xml:space="preserve">Full-text coding with Coding Manual.</t>
  </si>
  <si>
    <t xml:space="preserve">Only one coder (no inter-coder reliability).</t>
  </si>
  <si>
    <t xml:space="preserve">Subjectivity uncontrolled.</t>
  </si>
  <si>
    <t xml:space="preserve">Add second coder; compute Cohen's kappa.</t>
  </si>
  <si>
    <t xml:space="preserve">7 preprints + 4 unknown publications.</t>
  </si>
  <si>
    <t xml:space="preserve">Evidence quality uncertain.</t>
  </si>
  <si>
    <t xml:space="preserve">Verify all; exclude or downgrade if unverifiable.</t>
  </si>
  <si>
    <t xml:space="preserve">English-language search only.</t>
  </si>
  <si>
    <t xml:space="preserve">Omission bias for non-English literature.</t>
  </si>
  <si>
    <t xml:space="preserve">Search Portuguese, Spanish, Chinese sources.</t>
  </si>
  <si>
    <t xml:space="preserve">7. EMERGENT FUNCTIONAL ARCHITECTURE (RQ1 draft)</t>
  </si>
  <si>
    <t xml:space="preserve">From the corpus, the strongest observed combination per function is:</t>
  </si>
  <si>
    <t xml:space="preserve">F1: ESRB/ECB (3) — institutional design with indicators, roles, process</t>
  </si>
  <si>
    <t xml:space="preserve">F2: ESRB/ECB (3) — executable trigger with actor, criterion, action</t>
  </si>
  <si>
    <t xml:space="preserve">F3: Planetary Boundaries / Buldyrev / Rinaldi (3) — generic cross-sector applicability</t>
  </si>
  <si>
    <t xml:space="preserve">F4: Scheffer/Dakos / Schäfer / Planetary Boundaries / Lund-Jensen (3) — dynamic proximity model</t>
  </si>
  <si>
    <t xml:space="preserve">F5: Scheffer/Dakos / Velazquez / Lund-Jensen / Wever (3) — validated leading indicators with pre-event detection</t>
  </si>
  <si>
    <t xml:space="preserve">F6: ESRB/ECB / Boyd / Muiderman / Fuerth (3) — anticipatory governance with explicit pre-event criteria</t>
  </si>
  <si>
    <t xml:space="preserve">F7: Duseja 2026 (3) — reversibility window as explicit decision variable, BUT: AI preprint, unverified</t>
  </si>
  <si>
    <t xml:space="preserve">No single framework combines all seven at score ≥ 2. The emergent architecture is COMPOSITE, not unitary.</t>
  </si>
  <si>
    <t xml:space="preserve">This candidate architecture provides the analytical reference model against which frameworks, including c-ECO (TFP/TDR), will be compared in Paper 2.</t>
  </si>
  <si>
    <t xml:space="preserve">CODING MANUAL v1.3 — c-ECO Research Protocol</t>
  </si>
  <si>
    <t xml:space="preserve">Anchored examples for each score of each function. Includes POSITIVE examples, NEGATIVE examples, and "Why not N+1?"</t>
  </si>
  <si>
    <t xml:space="preserve">Score</t>
  </si>
  <si>
    <t xml:space="preserve">Definition</t>
  </si>
  <si>
    <t xml:space="preserve">Positive Example (earns this score)</t>
  </si>
  <si>
    <t xml:space="preserve">Negative Example (does NOT earn this score)</t>
  </si>
  <si>
    <t xml:space="preserve">Why not N+1?</t>
  </si>
  <si>
    <t xml:space="preserve">Boundary Note</t>
  </si>
  <si>
    <t xml:space="preserve">The work mentions governance only as a wish or future direction, with no structural description.</t>
  </si>
  <si>
    <t xml:space="preserve">The work describes a governance board, meeting schedule, and reporting lines.</t>
  </si>
  <si>
    <t xml:space="preserve">Because it lacks even abstract mention of structure. To reach 1, it must mention institutional design abstractly.</t>
  </si>
  <si>
    <t xml:space="preserve">The work says "governance structures should be established" or "institutional design is needed" without specifying roles, triggers, or processes.</t>
  </si>
  <si>
    <t xml:space="preserve">The work details who monitors what, who decides, and what happens when a threshold is crossed.</t>
  </si>
  <si>
    <t xml:space="preserve">Because it mentions structure but does not specify indicators, roles, or process. To reach 2, it must define at least indicators or roles.</t>
  </si>
  <si>
    <t xml:space="preserve">The work defines indicators (e.g., credit gap, line loading) and assigns roles (e.g., central bank, grid operator), but does not specify what action follows from a reading.</t>
  </si>
  <si>
    <t xml:space="preserve">The work says "early warning is important" without defining who receives the warning or what they do.</t>
  </si>
  <si>
    <t xml:space="preserve">Because it defines indicators and roles but lacks executable actions. To reach 3, it must specify triggers, roles, AND actions.</t>
  </si>
  <si>
    <t xml:space="preserve">The ESRB defines: (a) SRISK indicator, (b) national competent authority as actor, (c) capital buffer increase as action, (d) credit gap ≥ 2% as trigger threshold.</t>
  </si>
  <si>
    <t xml:space="preserve">The work proposes a "governance framework" with principles but no executable mechanism.</t>
  </si>
  <si>
    <t xml:space="preserve">N/A — this is the maximum score.</t>
  </si>
  <si>
    <t xml:space="preserve">The work describes a risk model but never mentions who decides or on what basis.</t>
  </si>
  <si>
    <t xml:space="preserve">The work says "regulators should intervene when systemic risk is high."</t>
  </si>
  <si>
    <t xml:space="preserve">Because it lacks any mention of decision-making. To reach 1, it must at least recommend action.</t>
  </si>
  <si>
    <t xml:space="preserve">The work says "early intervention is recommended" or "authorities should act preemptively" without specifying the actor, criterion, or action.</t>
  </si>
  <si>
    <t xml:space="preserve">The work states: "When the credit gap exceeds 2%, the national regulator must increase the CCyB by 0.5%."</t>
  </si>
  <si>
    <t xml:space="preserve">Because it recommends action but does not specify who, when, or how. To reach 2, it must define at least one of: actor, criterion, or action.</t>
  </si>
  <si>
    <t xml:space="preserve">The work defines a trigger (e.g., "when stress tests show vulnerability") but the actor or action is vague (e.g., "relevant authorities should consider measures").</t>
  </si>
  <si>
    <t xml:space="preserve">The work has no mention of decision-making, triggers, or institutional response.</t>
  </si>
  <si>
    <t xml:space="preserve">Because it has a trigger but lacks specificity on actor or action. To reach 3, it must specify WHO acts, on WHAT criterion, with WHAT action.</t>
  </si>
  <si>
    <t xml:space="preserve">The CCyB rule: (a) WHO = national macroprudential authority, (b) CRITERION = credit gap ≥ 2% (or 0-2% buffer guide), (c) ACTION = increase buffer by 0-2.5% of risk-weighted assets.</t>
  </si>
  <si>
    <t xml:space="preserve">The work says "governance should be strengthened" without specifying any of the three elements.</t>
  </si>
  <si>
    <t xml:space="preserve">The work studies only banking contagion, only power grid failures, or only water supply risk.</t>
  </si>
  <si>
    <t xml:space="preserve">The work analyzes how a flood affects water, energy, and transport infrastructure simultaneously.</t>
  </si>
  <si>
    <t xml:space="preserve">Because it focuses on one sector only. To reach 1, it must mention other sectors.</t>
  </si>
  <si>
    <t xml:space="preserve">The work focuses on finance but mentions that "spillovers to the real economy may occur."</t>
  </si>
  <si>
    <t xml:space="preserve">The work explicitly models coupling between three sectors (e.g., energy-water-transport).</t>
  </si>
  <si>
    <t xml:space="preserve">Because it mentions others but does not model or analyze coupling. To reach 2, it must couple two sectors.</t>
  </si>
  <si>
    <t xml:space="preserve">The work models interdependencies between power grids and telecommunications, or between finance and housing.</t>
  </si>
  <si>
    <t xml:space="preserve">The work is a generic network model with no sectoral specification.</t>
  </si>
  <si>
    <t xml:space="preserve">Because it couples two sectors but not three or more. To reach 3, it must be generic to ≥3 interdependent sectors.</t>
  </si>
  <si>
    <t xml:space="preserve">The work proposes a framework applicable to energy, water, transport, telecommunications, and health infrastructure with explicit coupling mechanisms.</t>
  </si>
  <si>
    <t xml:space="preserve">The work studies one sector in depth with no mention of others.</t>
  </si>
  <si>
    <t xml:space="preserve">The work discusses "risk" or "vulnerability" without any concept of a boundary, limit, or critical point.</t>
  </si>
  <si>
    <t xml:space="preserve">The work uses the term "tipping point" as a metaphor without quantification.</t>
  </si>
  <si>
    <t xml:space="preserve">Because it lacks any threshold concept. To reach 1, it must mention thresholds metaphorically.</t>
  </si>
  <si>
    <t xml:space="preserve">The work uses terms like "tipping point," "breaking point," or "critical load" without numerical specification.</t>
  </si>
  <si>
    <t xml:space="preserve">The work defines a static threshold (e.g., "credit gap = 2%") with no dynamic component.</t>
  </si>
  <si>
    <t xml:space="preserve">Because it is metaphorical, not quantified. To reach 2, it must define a numerical threshold.</t>
  </si>
  <si>
    <t xml:space="preserve">The work defines a fixed threshold (e.g., "dam water level must not exceed 90% capacity") with no update mechanism based on changing conditions.</t>
  </si>
  <si>
    <t xml:space="preserve">The work models threshold proximity with velocity and uncertainty bands (e.g., "we are at 85% capacity, rising at 2%/day, with 95% confidence interval").</t>
  </si>
  <si>
    <t xml:space="preserve">Because it is static, not dynamic. To reach 3, it must include proximity, velocity, AND uncertainty.</t>
  </si>
  <si>
    <t xml:space="preserve">The work defines a threshold zone that updates based on (a) current proximity to limit, (b) rate of approach (velocity), and (c) uncertainty bounds (e.g., confidence intervals, ensemble forecasts).</t>
  </si>
  <si>
    <t xml:space="preserve">The work defines a single fixed number as "the threshold" with no consideration of dynamics.</t>
  </si>
  <si>
    <t xml:space="preserve">The work discusses risk governance without any mention of indicators, sensors, data, or monitoring systems.</t>
  </si>
  <si>
    <t xml:space="preserve">The work proposes a set of indicators but does not validate them against actual pre-event data.</t>
  </si>
  <si>
    <t xml:space="preserve">Because it lacks any monitoring concept. To reach 1, it must propose indicators.</t>
  </si>
  <si>
    <t xml:space="preserve">The work proposes indicators (e.g., "we suggest monitoring credit growth and asset prices") but does not show that they provide warning before the event.</t>
  </si>
  <si>
    <t xml:space="preserve">The work validates that variance and autocorrelation increase before tipping points in multiple empirical systems.</t>
  </si>
  <si>
    <t xml:space="preserve">Because indicators are proposed but not validated. To reach 2, it must validate in at least one domain.</t>
  </si>
  <si>
    <t xml:space="preserve">The work shows that a specific indicator (e.g., P-wave detection) provides pre-event warning in one domain (e.g., seismic early warning).</t>
  </si>
  <si>
    <t xml:space="preserve">The work shows the same indicator works across multiple domains (seismic, ecological, financial).</t>
  </si>
  <si>
    <t xml:space="preserve">Because validation is limited to one domain. To reach 3, it must demonstrate pre-event detection across multiple empirical cases.</t>
  </si>
  <si>
    <t xml:space="preserve">The work demonstrates that the indicator consistently signals BEFORE the critical event across multiple empirical cases, with quantified lead time (e.g., "variance increases 2-3 years before forest dieback").</t>
  </si>
  <si>
    <t xml:space="preserve">The work proposes indicators but only shows they correlate with the event, not that they precede it.</t>
  </si>
  <si>
    <t xml:space="preserve">Post-hoc / recovery</t>
  </si>
  <si>
    <t xml:space="preserve">The work focuses on response, recovery, or resilience after the event has occurred (e.g., "build back better," "disaster recovery plans").</t>
  </si>
  <si>
    <t xml:space="preserve">The work says "prevention is better than cure" but does not specify when or how prevention is triggered.</t>
  </si>
  <si>
    <t xml:space="preserve">Because it is reactive, not preventive. To reach 1, it must value early action.</t>
  </si>
  <si>
    <t xml:space="preserve">The work states that early action is desirable (e.g., "precautionary principle," "prevention is important") but does not define a protocol for when or how early action occurs.</t>
  </si>
  <si>
    <t xml:space="preserve">The work defines explicit criteria for pre-event intervention (e.g., "activate when credit gap &gt; 2%").</t>
  </si>
  <si>
    <t xml:space="preserve">Because it values early action but does not operationalize it. To reach 2, it must define preventive measures.</t>
  </si>
  <si>
    <t xml:space="preserve">The work defines some preventive measures (e.g., "stress testing should be conducted annually") but does not link them to real-time thresholds or triggers.</t>
  </si>
  <si>
    <t xml:space="preserve">The work defines a complete decision protocol with explicit pre-event criteria, actor, and action.</t>
  </si>
  <si>
    <t xml:space="preserve">Because preventive measures exist but are not linked to real-time triggers. To reach 3, it must define decision before critical point with explicit criteria.</t>
  </si>
  <si>
    <t xml:space="preserve">The work defines: (a) the decision must be made before the critical point is reached, (b) the criteria are explicit and measurable, (c) the actor and action are specified. Example: CCyB activation before crisis, with credit gap as criterion.</t>
  </si>
  <si>
    <t xml:space="preserve">The work recommends prevention but does not specify when prevention transitions to mandatory action.</t>
  </si>
  <si>
    <t xml:space="preserve">The work discusses risk, damage, or collapse without any mention of whether the state can be reversed.</t>
  </si>
  <si>
    <t xml:space="preserve">The work mentions that some damages are irreversible (e.g., biodiversity loss) but does not use this as a decision variable.</t>
  </si>
  <si>
    <t xml:space="preserve">Because it ignores reversibility entirely. To reach 1, it must mention irreversibility.</t>
  </si>
  <si>
    <t xml:space="preserve">The variable</t>
  </si>
  <si>
    <t xml:space="preserve">The work mentions irreversibility as a property (e.g., "climate tipping points may be irreversible") but does not classify decisions by reversibility.</t>
  </si>
  <si>
    <t xml:space="preserve">The work distinguishes between reversible and irreversible states and uses this distinction to guide decision timing.</t>
  </si>
  <si>
    <t xml:space="preserve">Because it mentions irreversibility but does not operationalize it. To reach 2, it must distinguish and use reversibility for prioritization.</t>
  </si>
  <si>
    <t xml:space="preserve">Distinguishes reversible/irreversible states</t>
  </si>
  <si>
    <t xml:space="preserve">The work classifies risks or outcomes as reversible vs. irreversible (e.g., Renn &amp; Klinke 2004 classification) and uses this to prioritize, but does not define a reversibility window.</t>
  </si>
  <si>
    <t xml:space="preserve">The work defines a specific time window within which action can reverse the trajectory, and uses this window as an explicit input to the decision protocol.</t>
  </si>
  <si>
    <t xml:space="preserve">Because it distinguishes but does not define a window. To reach 3, it must define a reversibility window as an explicit decision variable.</t>
  </si>
  <si>
    <t xml:space="preserve">The work defines: (a) a reversibility window (time or state space within which action can reverse trajectory), (b) this window is an explicit input to the decision protocol, (c) the protocol specifies different actions for inside vs. outside the window. Example: Duseja 2026 (AI) — "intervene before the irreversibility threshold."</t>
  </si>
  <si>
    <t xml:space="preserve">The work acknowledges irreversibility but does not operationalize it as a decision variable.</t>
  </si>
  <si>
    <t xml:space="preserve">CODING PROTOCOL</t>
  </si>
  <si>
    <t xml:space="preserve">1. Read the full text (not just abstract) before scoring.</t>
  </si>
  <si>
    <t xml:space="preserve">2. Score what the work DEMONSTRATES, not what it CLAIMS.</t>
  </si>
  <si>
    <t xml:space="preserve">3. If a work scores N on a function, use the "Why not N+1?" column to justify.</t>
  </si>
  <si>
    <t xml:space="preserve">4. If uncertain between two scores, use the LOWER score (conservative).</t>
  </si>
  <si>
    <t xml:space="preserve">5. Document the evidence (page number, quote) for every score of 2 or 3.</t>
  </si>
  <si>
    <t xml:space="preserve">6. Two independent coders required for scores ≥2. Compute Cohen's kappa.</t>
  </si>
  <si>
    <t xml:space="preserve">7. Disagreements resolved by discussion; if unresolved, use third coder.</t>
  </si>
  <si>
    <t xml:space="preserve">8. All coding decisions are recorded in the Decision Log with evidence source.</t>
  </si>
  <si>
    <t xml:space="preserve">DECISION LOG v1.3 — c-ECO Research Protocol</t>
  </si>
  <si>
    <t xml:space="preserve">All methodological changes, score revisions, and structural modifications are recorded here.</t>
  </si>
  <si>
    <t xml:space="preserve">Each entry links to the evidence that motivated the decision.</t>
  </si>
  <si>
    <t xml:space="preserve">Date</t>
  </si>
  <si>
    <t xml:space="preserve">Field</t>
  </si>
  <si>
    <t xml:space="preserve">From</t>
  </si>
  <si>
    <t xml:space="preserve">To</t>
  </si>
  <si>
    <t xml:space="preserve">Reason</t>
  </si>
  <si>
    <t xml:space="preserve">Evidence Source</t>
  </si>
  <si>
    <t xml:space="preserve">Reference</t>
  </si>
  <si>
    <t xml:space="preserve">Decisor</t>
  </si>
  <si>
    <t xml:space="preserve">2026-06-27</t>
  </si>
  <si>
    <t xml:space="preserve">Multiple</t>
  </si>
  <si>
    <t xml:space="preserve">Matrix structure</t>
  </si>
  <si>
    <t xml:space="preserve">v1.0 (25 cols)</t>
  </si>
  <si>
    <t xml:space="preserve">v1.1 (31 cols)</t>
  </si>
  <si>
    <t xml:space="preserve">Added Type_v2, Construct scope, Publication status, Limitation verify status, all&gt;=2, all&gt;=1</t>
  </si>
  <si>
    <t xml:space="preserve">User feedback on v1.0</t>
  </si>
  <si>
    <t xml:space="preserve">See user document 2026-06-27</t>
  </si>
  <si>
    <t xml:space="preserve">User</t>
  </si>
  <si>
    <t xml:space="preserve">Reclassification of secondary literature (review/survey article, not primary theory)</t>
  </si>
  <si>
    <t xml:space="preserve">Article title contains "survey"</t>
  </si>
  <si>
    <t xml:space="preserve">De Bandt &amp; Hartmann 2002, title: "Systemic risk in banking: a survey"</t>
  </si>
  <si>
    <t xml:space="preserve">Reclassification of secondary literature</t>
  </si>
  <si>
    <t xml:space="preserve">Article title contains "review"</t>
  </si>
  <si>
    <t xml:space="preserve">Caccioli et al. 2018, title: "Network models of financial systemic risk: a review"</t>
  </si>
  <si>
    <t xml:space="preserve">Galati &amp; Moessner 2013, title: "Macroprudential policy: a literature review"</t>
  </si>
  <si>
    <t xml:space="preserve">Haes Alhelou et al. 2019, title: "A survey on power system blackout..."</t>
  </si>
  <si>
    <t xml:space="preserve">Article is a critical review</t>
  </si>
  <si>
    <t xml:space="preserve">Osei-Kyei et al. 2021, title: "Critical review of threats affecting CI resilience"</t>
  </si>
  <si>
    <t xml:space="preserve">Article is a review and analysis</t>
  </si>
  <si>
    <t xml:space="preserve">Curt &amp; Tacnet 2018, title: "Resilience of critical infrastructures: Review and analysis"</t>
  </si>
  <si>
    <t xml:space="preserve">Article is a systematic literature review</t>
  </si>
  <si>
    <t xml:space="preserve">Mottahedi et al. 2021, title: "The resilience of critical infrastructure systems: A systematic literature review"</t>
  </si>
  <si>
    <t xml:space="preserve">Reclassification of secondary literature (IoT EWS review)</t>
  </si>
  <si>
    <t xml:space="preserve">Esposito et al. 2022, title: "Recent advances in IoT solutions for early warning systems: A review"</t>
  </si>
  <si>
    <t xml:space="preserve">Reclassification of secondary literature (earthquake EWS review)</t>
  </si>
  <si>
    <t xml:space="preserve">Velazquez et al. 2020, title: "A review of the technical and socio-organizational components of earthquake EWS"</t>
  </si>
  <si>
    <t xml:space="preserve">Reclassification of secondary literature (systemic risk from DRR perspective)</t>
  </si>
  <si>
    <t xml:space="preserve">Article is a review</t>
  </si>
  <si>
    <t xml:space="preserve">Mitra &amp; Shaw 2023, title: "Systemic risk from a disaster management perspective: A review"</t>
  </si>
  <si>
    <t xml:space="preserve">Reclassification of secondary literature (environmental governance theories review)</t>
  </si>
  <si>
    <t xml:space="preserve">Partelow et al. 2020, title: "Environmental governance theories: a review..."</t>
  </si>
  <si>
    <t xml:space="preserve">Reclassification of secondary literature (CI resilience measurement frameworks review)</t>
  </si>
  <si>
    <t xml:space="preserve">Article title contains "systematic literature review"</t>
  </si>
  <si>
    <t xml:space="preserve">Sathurshan et al. 2022, title: "Resilience of CI systems: systematic literature review..."</t>
  </si>
  <si>
    <t xml:space="preserve">Reclassification of secondary literature (ML in ICIS resilience review)</t>
  </si>
  <si>
    <t xml:space="preserve">Article title contains "systematic review"</t>
  </si>
  <si>
    <t xml:space="preserve">Alkhaleel 2024, title: "Machine learning applications in ICIS resilience: systematic review"</t>
  </si>
  <si>
    <t xml:space="preserve">15 (stated)</t>
  </si>
  <si>
    <t xml:space="preserve">14 (correct)</t>
  </si>
  <si>
    <t xml:space="preserve">Correction of arithmetic error: F1=2+F2=2+F3=1+F4=3+F5=3+F6=2+F7=1 = 14, not 15</t>
  </si>
  <si>
    <t xml:space="preserve">Manual recalculation of F1-F7</t>
  </si>
  <si>
    <t xml:space="preserve">Lund-Jensen 2012, Google Books</t>
  </si>
  <si>
    <t xml:space="preserve">DOI</t>
  </si>
  <si>
    <t xml:space="preserve">10.1038/nature06275</t>
  </si>
  <si>
    <t xml:space="preserve">10.1038/461472a</t>
  </si>
  <si>
    <t xml:space="preserve">Correction: Rockstrom 2009 Nature DOI is 10.1038/461472a (was wrong in v1.0)</t>
  </si>
  <si>
    <t xml:space="preserve">Cross-check with Nature website</t>
  </si>
  <si>
    <t xml:space="preserve">Rockstrom et al. 2009, Nature 461, 472-475</t>
  </si>
  <si>
    <t xml:space="preserve">DOI 10.1016/j.seps.2024.03.001 suggests 2024 publication, but entry is 2025. Requires verification.</t>
  </si>
  <si>
    <t xml:space="preserve">DOI year mismatch</t>
  </si>
  <si>
    <t xml:space="preserve">Aros-Vera &amp; Thekdi 2025, DOI: 10.1016/j.seps.2024.03.001</t>
  </si>
  <si>
    <t xml:space="preserve">Preprint count</t>
  </si>
  <si>
    <t xml:space="preserve">0 (v1.0 error)</t>
  </si>
  <si>
    <t xml:space="preserve">7 (correct)</t>
  </si>
  <si>
    <t xml:space="preserve">Fixed: 7 entries are preprints (IDs 33, 45, 46, 47, 48, 49, 55)</t>
  </si>
  <si>
    <t xml:space="preserve">Manual count of Publication status = "preprint"</t>
  </si>
  <si>
    <t xml:space="preserve">See Review Matrix column H</t>
  </si>
  <si>
    <t xml:space="preserve">H3 interpretation</t>
  </si>
  <si>
    <t xml:space="preserve">Prior: "78% F5&lt;-&gt;F4, 85% F2&lt;-&gt;F1"</t>
  </si>
  <si>
    <t xml:space="preserve">Replaced by full conditional matrix</t>
  </si>
  <si>
    <t xml:space="preserve">Prior figures were not reproducible; replaced by complete conditional matrix with base rates</t>
  </si>
  <si>
    <t xml:space="preserve">Independent recalculation from Review Matrix</t>
  </si>
  <si>
    <t xml:space="preserve">See H3 Co-presence tab</t>
  </si>
  <si>
    <t xml:space="preserve">H3 note</t>
  </si>
  <si>
    <t xml:space="preserve">"cannot be confirmed nor rejected"</t>
  </si>
  <si>
    <t xml:space="preserve">"co-presence alone insufficient"</t>
  </si>
  <si>
    <t xml:space="preserve">Precision: H3 has 3 components (logical necessity, co-presence, derivation); matrix only measures co-presence</t>
  </si>
  <si>
    <t xml:space="preserve">User critique 2026-06-27</t>
  </si>
  <si>
    <t xml:space="preserve">Statistics</t>
  </si>
  <si>
    <t xml:space="preserve">Mean scores section</t>
  </si>
  <si>
    <t xml:space="preserve">Removed; replaced by distribution table</t>
  </si>
  <si>
    <t xml:space="preserve">Ordinal scale (0-3) does not guarantee equal intervals; mean is statistically problematic</t>
  </si>
  <si>
    <t xml:space="preserve">Causal language</t>
  </si>
  <si>
    <t xml:space="preserve">"requires", "implies"</t>
  </si>
  <si>
    <t xml:space="preserve">Removed; replaced by descriptive language</t>
  </si>
  <si>
    <t xml:space="preserve">Co-presence shows association, not causation or direction</t>
  </si>
  <si>
    <t xml:space="preserve">Directional arrows</t>
  </si>
  <si>
    <t xml:space="preserve">F5→F2, F4→F2</t>
  </si>
  <si>
    <t xml:space="preserve">Removed</t>
  </si>
  <si>
    <t xml:space="preserve">Direction cannot be inferred from co-presence matrix alone</t>
  </si>
  <si>
    <t xml:space="preserve">Bayes/DAG</t>
  </si>
  <si>
    <t xml:space="preserve">Presented as requirement for H3</t>
  </si>
  <si>
    <t xml:space="preserve">Reclassified as optional complement</t>
  </si>
  <si>
    <t xml:space="preserve">H3 can be sustained by qualitative + logical evidence; Bayes/DAG is additional, not required</t>
  </si>
  <si>
    <t xml:space="preserve">Methodological tension</t>
  </si>
  <si>
    <t xml:space="preserve">Not mentioned</t>
  </si>
  <si>
    <t xml:space="preserve">Added explicit note</t>
  </si>
  <si>
    <t xml:space="preserve">Scoring assumes functional independence; H3 tests dependence. Different epistemic levels.</t>
  </si>
  <si>
    <t xml:space="preserve">F7=3 note</t>
  </si>
  <si>
    <t xml:space="preserve">Not explicit</t>
  </si>
  <si>
    <t xml:space="preserve">Only F7=3 is ID45 (Duseja 2026), an unverified AI preprint. No verified F7=3 in infrastructure.</t>
  </si>
  <si>
    <t xml:space="preserve">Audit of F7 scores</t>
  </si>
  <si>
    <t xml:space="preserve">See Review Matrix column Q</t>
  </si>
  <si>
    <t xml:space="preserve">Not present</t>
  </si>
  <si>
    <t xml:space="preserve">Added "core" vs "adjacent (ML cutoff)"</t>
  </si>
  <si>
    <t xml:space="preserve">6 ML/AI probability-cutoff preprints isolated so they do not carry F3/F7 expectations</t>
  </si>
  <si>
    <t xml:space="preserve">Limitation column</t>
  </si>
  <si>
    <t xml:space="preserve">"Explicit_Limitation_Verbatim"</t>
  </si>
  <si>
    <t xml:space="preserve">"Explicit limitation (abstract-derived, UNVERIFIED)"</t>
  </si>
  <si>
    <t xml:space="preserve">Clarified: limitations are paraphrases from abstracts, not verified verbatim quotes</t>
  </si>
  <si>
    <t xml:space="preserve">New documents</t>
  </si>
  <si>
    <t xml:space="preserve">Coding Manual + Decision Log</t>
  </si>
  <si>
    <t xml:space="preserve">Added per recommendation: anchored examples reduce subjectivity; decision log ensures auditability</t>
  </si>
  <si>
    <t xml:space="preserve">STATUS language</t>
  </si>
  <si>
    <t xml:space="preserve">"preliminary triage"</t>
  </si>
  <si>
    <t xml:space="preserve">"operationalizes the screening stage"</t>
  </si>
  <si>
    <t xml:space="preserve">Communicates that this is a formal methodological artifact, not a provisional draft</t>
  </si>
  <si>
    <t xml:space="preserve">Statistics structure</t>
  </si>
  <si>
    <t xml:space="preserve">One tab</t>
  </si>
  <si>
    <t xml:space="preserve">Two tabs: Corpus Summary + Analytical Results</t>
  </si>
  <si>
    <t xml:space="preserve">Separates description from interpretation</t>
  </si>
  <si>
    <t xml:space="preserve">Coding Manual</t>
  </si>
  <si>
    <t xml:space="preserve">Positive examples only</t>
  </si>
  <si>
    <t xml:space="preserve">Added negative examples + "Why not N+1?"</t>
  </si>
  <si>
    <t xml:space="preserve">Reduces subjectivity and inter-coder disagreement</t>
  </si>
  <si>
    <t xml:space="preserve">Decision Log</t>
  </si>
  <si>
    <t xml:space="preserve">Reason only</t>
  </si>
  <si>
    <t xml:space="preserve">Added Evidence Source + Reference columns</t>
  </si>
  <si>
    <t xml:space="preserve">Each decision linked to motivating evidence</t>
  </si>
  <si>
    <t xml:space="preserve">NEW: Functional Architecture</t>
  </si>
  <si>
    <t xml:space="preserve">Added as emergent result from RQ1</t>
  </si>
  <si>
    <t xml:space="preserve">Captures the composite architecture derived from the corpus, not hypothesized by c-ECO</t>
  </si>
  <si>
    <t xml:space="preserve">METHOD FROZEN</t>
  </si>
  <si>
    <t xml:space="preserve">Not frozen</t>
  </si>
  <si>
    <t xml:space="preserve">FROZEN v1.3</t>
  </si>
  <si>
    <t xml:space="preserve">Methodological architecture is now stable. Only error corrections and corpus expansion permitted.</t>
  </si>
  <si>
    <t xml:space="preserve">User assessment: "method is sufficiently mature to be frozen"</t>
  </si>
  <si>
    <t xml:space="preserve">PENDING DECISIONS (to be resolved in future versions)</t>
  </si>
  <si>
    <t xml:space="preserve">Action required</t>
  </si>
  <si>
    <t xml:space="preserve">Priority</t>
  </si>
  <si>
    <t xml:space="preserve">Assigned to</t>
  </si>
  <si>
    <t xml:space="preserve">ASAP</t>
  </si>
  <si>
    <t xml:space="preserve">32, 38, 39, 54</t>
  </si>
  <si>
    <t xml:space="preserve">Unknown</t>
  </si>
  <si>
    <t xml:space="preserve">Verify DOI, editora, peer review status</t>
  </si>
  <si>
    <t xml:space="preserve">HIGH</t>
  </si>
  <si>
    <t xml:space="preserve">Publication metadata unavailable</t>
  </si>
  <si>
    <t xml:space="preserve">See Review Matrix</t>
  </si>
  <si>
    <t xml:space="preserve">26, 27, 56</t>
  </si>
  <si>
    <t xml:space="preserve">Working paper</t>
  </si>
  <si>
    <t xml:space="preserve">Verify if peer-reviewed version exists</t>
  </si>
  <si>
    <t xml:space="preserve">LOW</t>
  </si>
  <si>
    <t xml:space="preserve">SSRN / working paper sources</t>
  </si>
  <si>
    <t xml:space="preserve">Before Paper 1</t>
  </si>
  <si>
    <t xml:space="preserve">All</t>
  </si>
  <si>
    <t xml:space="preserve">Limitations</t>
  </si>
  <si>
    <t xml:space="preserve">Abstract-paraphrase</t>
  </si>
  <si>
    <t xml:space="preserve">Verify verbatim + page number in primary sources</t>
  </si>
  <si>
    <t xml:space="preserve">All limitation quotes are paraphrased from abstracts</t>
  </si>
  <si>
    <t xml:space="preserve">See Review Matrix column W</t>
  </si>
  <si>
    <t xml:space="preserve">Corpus expansion</t>
  </si>
  <si>
    <t xml:space="preserve">60 frameworks</t>
  </si>
  <si>
    <t xml:space="preserve">Expand to ~150 frameworks with full-text coding</t>
  </si>
  <si>
    <t xml:space="preserve">MEDIUM</t>
  </si>
  <si>
    <t xml:space="preserve">Current n=60 insufficient for robust pattern detection</t>
  </si>
  <si>
    <t xml:space="preserve">See Analytical Results tab</t>
  </si>
  <si>
    <t xml:space="preserve">User + Team</t>
  </si>
  <si>
    <t xml:space="preserve">Inter-coder reliability</t>
  </si>
  <si>
    <t xml:space="preserve">Not calculated</t>
  </si>
  <si>
    <t xml:space="preserve">Compute Cohen's kappa for all 7 functions</t>
  </si>
  <si>
    <t xml:space="preserve">Only one coder; subjectivity uncontrolled</t>
  </si>
  <si>
    <t xml:space="preserve">See Coding Manual</t>
  </si>
  <si>
    <t xml:space="preserve">User + Second coder</t>
  </si>
  <si>
    <t xml:space="preserve">PRISMA-ScR</t>
  </si>
  <si>
    <t xml:space="preserve">Not documented</t>
  </si>
  <si>
    <t xml:space="preserve">Document PRISMA-ScR flow record</t>
  </si>
  <si>
    <t xml:space="preserve">Required for systematic review reporting</t>
  </si>
  <si>
    <t xml:space="preserve">PRISMA-ScR guidelines (Tricco et al. 2018)</t>
  </si>
  <si>
    <t xml:space="preserve">Before Paper 2</t>
  </si>
  <si>
    <t xml:space="preserve">c-ECO positioning</t>
  </si>
  <si>
    <t xml:space="preserve">Not in matrix</t>
  </si>
  <si>
    <t xml:space="preserve">Score c-ECO (TFP/TDR) against derived functional architecture</t>
  </si>
  <si>
    <t xml:space="preserve">c-ECO excluded from matrix to avoid bias</t>
  </si>
  <si>
    <t xml:space="preserve">See STATUS tab</t>
  </si>
  <si>
    <t xml:space="preserve">Non-English literature</t>
  </si>
  <si>
    <t xml:space="preserve">Not searched</t>
  </si>
  <si>
    <t xml:space="preserve">Verify Portuguese/Spanish/Chinese literature for omission bias</t>
  </si>
  <si>
    <t xml:space="preserve">Search was English-only via Google Scholar</t>
  </si>
  <si>
    <t xml:space="preserve">See Research Protocol</t>
  </si>
  <si>
    <t xml:space="preserve">Sensitivity analysis</t>
  </si>
  <si>
    <t xml:space="preserve">Not performed</t>
  </si>
  <si>
    <t xml:space="preserve">Test robustness: scores ±1, different coders, different sampling</t>
  </si>
  <si>
    <t xml:space="preserve">Scores are provisional; need robustness check</t>
  </si>
  <si>
    <t xml:space="preserve">See Analytical Results limitations</t>
  </si>
  <si>
    <t xml:space="preserve">Formula cache</t>
  </si>
  <si>
    <t xml:space="preserve">v1.3 (180+49 formulas uncached; Total &amp; H3 blank)</t>
  </si>
  <si>
    <t xml:space="preserve">v1.3.1 (workbook recalculated; cached values present)</t>
  </si>
  <si>
    <t xml:space="preserve">Audit: file saved without recalculation; Total column and H3 matrix rendered blank until opened</t>
  </si>
  <si>
    <t xml:space="preserve">Internal audit 2026-06-27 (recompute from scores)</t>
  </si>
  <si>
    <t xml:space="preserve">See Corpus Summary base rates</t>
  </si>
  <si>
    <t xml:space="preserve">User+Audit</t>
  </si>
  <si>
    <t xml:space="preserve">Analytical Results</t>
  </si>
  <si>
    <t xml:space="preserve">Numeric values</t>
  </si>
  <si>
    <t xml:space="preserve">F2=35/3; F7=36; P(F7|F2)=16.7%; P(F5|F4)=74.1%/P(F4|F5)=60.6%</t>
  </si>
  <si>
    <t xml:space="preserve">F2=32/1; F7=26; P(F7|F2)=9.1%; P(F5|F4)=60.6%/P(F4|F5)=74.1%</t>
  </si>
  <si>
    <t xml:space="preserve">Hand-typed interpretive figures did not match (correct) Corpus Summary; two conditional directions were swapped</t>
  </si>
  <si>
    <t xml:space="preserve">Corpus Summary distribution + H3 recompute</t>
  </si>
  <si>
    <t xml:space="preserve">Corpus Summary A/G; H3 Co-presence</t>
  </si>
  <si>
    <t xml:space="preserve">STATUS / Functional Architecture</t>
  </si>
  <si>
    <t xml:space="preserve">Wording</t>
  </si>
  <si>
    <t xml:space="preserve">'benchmark'; 'strongest observed per function'</t>
  </si>
  <si>
    <t xml:space="preserve">'analytical reference model … including c-ECO'; 'candidate architecture …'; added freeze sentence</t>
  </si>
  <si>
    <t xml:space="preserve">Reduce confirmation-bias reading: architecture is a general reference model, not built to evaluate c-ECO</t>
  </si>
  <si>
    <t xml:space="preserve">User feedback 2026-06-27</t>
  </si>
  <si>
    <t xml:space="preserve">User document</t>
  </si>
  <si>
    <t xml:space="preserve">Formula persistence</t>
  </si>
  <si>
    <t xml:space="preserve">229 formulas (Review Matrix + H3)</t>
  </si>
  <si>
    <t xml:space="preserve">229 computed values (cached)</t>
  </si>
  <si>
    <t xml:space="preserve">Formulas were not persisted; file required Excel recalculation to display correct values. All formulas replaced by their computed results.</t>
  </si>
  <si>
    <t xml:space="preserve">User audit 2026-06-27 identified blank cells in H3 Co-presence</t>
  </si>
  <si>
    <t xml:space="preserve">See H3 Co-presence tab; Corpus Summary base rates</t>
  </si>
  <si>
    <t xml:space="preserve">Live formulas</t>
  </si>
  <si>
    <t xml:space="preserve">v1.3.2 (229 formulas flattened to static values)</t>
  </si>
  <si>
    <t xml:space="preserve">v1.3.3 (live formulas restored: Total, all&gt;=2/all&gt;=1, H3 co-presence; recalculated)</t>
  </si>
  <si>
    <t xml:space="preserve">User request: re-include removed formulas so the workbook stays dynamic on data edits</t>
  </si>
  <si>
    <t xml:space="preserve">Compared against v1.3.1 formula set (180 Review Matrix + 49 H3)</t>
  </si>
  <si>
    <t xml:space="preserve">v1.3.1 reference</t>
  </si>
  <si>
    <t xml:space="preserve">FUNCTIONAL ARCHITECTURE v1.3 — EMERGENT RESULT FROM RQ1</t>
  </si>
  <si>
    <t xml:space="preserve">This is NOT the c-ECO hypothesis. It is what the literature offers when the strongest observed score per function is combined.</t>
  </si>
  <si>
    <t xml:space="preserve">It provides the analytical reference model against which frameworks, including c-ECO (TFP/TDR), will be compared in Paper 2.</t>
  </si>
  <si>
    <t xml:space="preserve">RESEARCH QUESTION 1: What functional architecture for operational governance of threshold dynamics exists in the literature?</t>
  </si>
  <si>
    <t xml:space="preserve">A. CANDIDATE FUNCTIONAL ARCHITECTURE — derived from the highest-performing functional implementations identified during preliminary screening</t>
  </si>
  <si>
    <t xml:space="preserve">Strongest Score</t>
  </si>
  <si>
    <t xml:space="preserve">Framework(s)</t>
  </si>
  <si>
    <t xml:space="preserve">What it provides</t>
  </si>
  <si>
    <t xml:space="preserve">What it lacks</t>
  </si>
  <si>
    <t xml:space="preserve">ESRB/ECB (ID 1)</t>
  </si>
  <si>
    <t xml:space="preserve">Institutional design: indicators (SRISK, CCyB), roles (national competent authority), process (annual review, escalation)</t>
  </si>
  <si>
    <t xml:space="preserve">Cross-sector applicability (F3=1); reversibility as variable (F7=1)</t>
  </si>
  <si>
    <t xml:space="preserve">ESRB Annual Report 2013; Adrian et al. 2019 JF</t>
  </si>
  <si>
    <t xml:space="preserve">Executable trigger: WHO (national regulator), WHAT (increase CCyB), WHEN (credit gap ≥ 2%), HOW MUCH (0-2.5% RWA)</t>
  </si>
  <si>
    <t xml:space="preserve">Cross-sector applicability (F3=1); dynamic threshold (F4=2, not 3)</t>
  </si>
  <si>
    <t xml:space="preserve">ESRB Regulation 1092/2010; BCBS guidance</t>
  </si>
  <si>
    <t xml:space="preserve">Planetary Boundaries (ID 2), Buldyrev (ID 3), Rinaldi (ID 4), Centeno (ID 28), Gambhir (ID 32)</t>
  </si>
  <si>
    <t xml:space="preserve">Generic applicability to ≥3 interdependent sectors (climate, biodiversity, energy, water, transport, health)</t>
  </si>
  <si>
    <t xml:space="preserve">Operational architecture (F1=1 or 0); executable triggers (F2=0 or 1)</t>
  </si>
  <si>
    <t xml:space="preserve">Rockstrom et al. 2009; Buldyrev et al. 2010; Rinaldi et al. 2001</t>
  </si>
  <si>
    <t xml:space="preserve">Scheffer/Dakos (ID 5), Buldyrev (ID 3), Schäfer (ID 15), Planetary Boundaries (ID 2), Lund-Jensen (ID 39)</t>
  </si>
  <si>
    <t xml:space="preserve">Dynamic proximity model: variance/autocorrelation as proximity indicator; tolerance parameter α; time-varying thresholds</t>
  </si>
  <si>
    <t xml:space="preserve">Cross-sector operationalization (F3=1 or 2); executable triggers (F2=1 or 0)</t>
  </si>
  <si>
    <t xml:space="preserve">Scheffer et al. 2009 Nature; Schäfer et al. 2018 Nat Commun; Lund-Jensen 2012</t>
  </si>
  <si>
    <t xml:space="preserve">Scheffer/Dakos (ID 5), Velazquez (ID 25), Lund-Jensen (ID 39), Wever (ID 40), Esposito (ID 23)</t>
  </si>
  <si>
    <t xml:space="preserve">Validated leading indicators with pre-event detection: variance/autocorrelation (2-3 years lead), P-wave detection (seconds), IoT sensors</t>
  </si>
  <si>
    <t xml:space="preserve">Governance activation (F2=1 or 0); cross-sector integration (F3=1 or 2)</t>
  </si>
  <si>
    <t xml:space="preserve">Scheffer et al. 2009; Velazquez et al. 2020; Esposito et al. 2022</t>
  </si>
  <si>
    <t xml:space="preserve">ESRB/ECB (ID 1), Boyd (ID 41), Muiderman (ID 42), Fuerth (ID 43)</t>
  </si>
  <si>
    <t xml:space="preserve">Decision before critical point: countercyclical buffers, anticipatory governance, foresight-based planning</t>
  </si>
  <si>
    <t xml:space="preserve">Cross-sector operationalization (F3=1); executable triggers in non-financial domains (F2=1)</t>
  </si>
  <si>
    <t xml:space="preserve">Adrian et al. 2019; Boyd et al. 2015; Muiderman et al. 2020</t>
  </si>
  <si>
    <t xml:space="preserve">Duseja 2026 (ID 45)</t>
  </si>
  <si>
    <t xml:space="preserve">Reversibility window as explicit decision variable: intervene before irreversibility threshold</t>
  </si>
  <si>
    <t xml:space="preserve">Physical infrastructure (sector=AI); preprint (unverified); no cross-sector coupling</t>
  </si>
  <si>
    <t xml:space="preserve">Duseja 2026 SSRN 6384060 — PREPRINT, UNVERIFIED</t>
  </si>
  <si>
    <t xml:space="preserve">B. ARCHITECTURE GAP ANALYSIS (composite vs. unitary)</t>
  </si>
  <si>
    <t xml:space="preserve">Implication</t>
  </si>
  <si>
    <t xml:space="preserve">The composite architecture requires 7 different frameworks to achieve score 3 on all functions.</t>
  </si>
  <si>
    <t xml:space="preserve">No single framework integrates all functions. This is a descriptive finding, not proof of a market gap.</t>
  </si>
  <si>
    <t xml:space="preserve">The only F7=3 is an unverified AI preprint.</t>
  </si>
  <si>
    <t xml:space="preserve">No verified framework in the infrastructure domain treats reversibility as a decision variable.</t>
  </si>
  <si>
    <t xml:space="preserve">The strongest F1/F2/F6 come from finance (ESRB/ECB), which is F3=1.</t>
  </si>
  <si>
    <t xml:space="preserve">Sectoral depth and cross-sector breadth are inversely correlated in the observed corpus.</t>
  </si>
  <si>
    <t xml:space="preserve">The strongest F3/F4 come from socio-ecological/network theory, which is F1/F2=0 or 1.</t>
  </si>
  <si>
    <t xml:space="preserve">Theoretical breadth and operational depth are inversely correlated in the observed corpus.</t>
  </si>
  <si>
    <t xml:space="preserve">F5 (Observability) is the most "bridgeable" function: it co-occurs with F4 (74%) and F1 (82%).</t>
  </si>
  <si>
    <t xml:space="preserve">Observability is the function most likely to be integrated across frameworks.</t>
  </si>
  <si>
    <t xml:space="preserve">F7 (Reversibility) is the most isolated function: it co-occurs with F1 (4.5%) and F5 (3.7%).</t>
  </si>
  <si>
    <t xml:space="preserve">Reversibility is the function least likely to be integrated with operational architecture.</t>
  </si>
  <si>
    <t xml:space="preserve">C. RESEARCH QUESTION 2 (for Paper 2): How does c-ECO (TFP/TDR) compare to this emergent architecture?</t>
  </si>
  <si>
    <t xml:space="preserve">This section will be populated after c-ECO is scored against the same 7-function codebook.</t>
  </si>
  <si>
    <t xml:space="preserve">Hypothesis for RQ2 (to be tested):</t>
  </si>
  <si>
    <t xml:space="preserve">  c-ECO (TFP/TDR) scores ≥ 2 on all 7 functions simultaneously, where the composite literature architecture</t>
  </si>
  <si>
    <t xml:space="preserve">  requires 7 different frameworks to achieve the same coverage.</t>
  </si>
  <si>
    <t xml:space="preserve">If confirmed, this would indicate that c-ECO integrates functions that the literature treats as separate.</t>
  </si>
  <si>
    <t xml:space="preserve">If not confirmed, the gap hypothesis would need revision.</t>
  </si>
  <si>
    <t xml:space="preserve">D. METHODOLOGICAL NOTES</t>
  </si>
  <si>
    <t xml:space="preserve">1. This architecture is COMPOSITE, not unitary. It does not represent any single framework.</t>
  </si>
  <si>
    <t xml:space="preserve">2. It is derived from the strongest observed score per function, not from theoretical synthesis.</t>
  </si>
  <si>
    <t xml:space="preserve">3. It is provisional: corpus expansion (60 → 150) may reveal stronger frameworks in any function.</t>
  </si>
  <si>
    <t xml:space="preserve">4. It is descriptive, not normative: it describes what exists, not what should exist.</t>
  </si>
  <si>
    <t xml:space="preserve">5. The c-ECO positioning (RQ2) will be conducted independently, using the same codebook, by a different coder if possible.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</si>
</sst>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0</v>
      </c>
    </row>
    <row r="3" customFormat="false" ht="15" hidden="false" customHeight="true" outlineLevel="0" collapsed="false">
      <c r="A3" s="1"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9" customFormat="false" ht="15" hidden="false" customHeight="true" outlineLevel="0" collapsed="false">
      <c r="A9" s="1" t="s">
        <v>6</v>
      </c>
    </row>
    <row r="11" customFormat="false" ht="15" hidden="false" customHeight="true" outlineLevel="0" collapsed="false">
      <c r="A11" s="1" t="s">
        <v>7</v>
      </c>
    </row>
    <row r="12" customFormat="false" ht="15" hidden="false" customHeight="true" outlineLevel="0" collapsed="false">
      <c r="A12" s="1" t="s">
        <v>8</v>
      </c>
    </row>
    <row r="13" customFormat="false" ht="15" hidden="false" customHeight="true" outlineLevel="0" collapsed="false">
      <c r="A13" s="1" t="s">
        <v>9</v>
      </c>
    </row>
    <row r="14" customFormat="false" ht="15" hidden="false" customHeight="true" outlineLevel="0" collapsed="false">
      <c r="A14" s="1" t="s">
        <v>10</v>
      </c>
    </row>
    <row r="15" customFormat="false" ht="15" hidden="false" customHeight="true" outlineLevel="0" collapsed="false">
      <c r="A15" s="1" t="s">
        <v>11</v>
      </c>
    </row>
    <row r="16" customFormat="false" ht="15" hidden="false" customHeight="true" outlineLevel="0" collapsed="false">
      <c r="A16" s="1" t="s">
        <v>12</v>
      </c>
    </row>
    <row r="18" customFormat="false" ht="15" hidden="false" customHeight="true" outlineLevel="0" collapsed="false">
      <c r="A18" s="1" t="s">
        <v>13</v>
      </c>
    </row>
    <row r="19" customFormat="false" ht="15" hidden="false" customHeight="true" outlineLevel="0" collapsed="false">
      <c r="A19" s="1" t="s">
        <v>14</v>
      </c>
    </row>
    <row r="20" customFormat="false" ht="15" hidden="false" customHeight="true" outlineLevel="0" collapsed="false">
      <c r="A20" s="1" t="s">
        <v>13</v>
      </c>
    </row>
    <row r="22" customFormat="false" ht="15" hidden="false" customHeight="true" outlineLevel="0" collapsed="false">
      <c r="A22" s="1" t="s">
        <v>15</v>
      </c>
    </row>
    <row r="23" customFormat="false" ht="15" hidden="false" customHeight="true" outlineLevel="0" collapsed="false">
      <c r="A23" s="1" t="s">
        <v>16</v>
      </c>
    </row>
    <row r="24" customFormat="false" ht="15" hidden="false" customHeight="true" outlineLevel="0" collapsed="false">
      <c r="A24" s="1" t="s">
        <v>17</v>
      </c>
    </row>
    <row r="26" customFormat="false" ht="15" hidden="false" customHeight="true" outlineLevel="0" collapsed="false">
      <c r="A26" s="1" t="s">
        <v>18</v>
      </c>
    </row>
    <row r="27" customFormat="false" ht="15" hidden="false" customHeight="true" outlineLevel="0" collapsed="false">
      <c r="A27" s="1" t="s">
        <v>19</v>
      </c>
    </row>
    <row r="28" customFormat="false" ht="15" hidden="false" customHeight="true" outlineLevel="0" collapsed="false">
      <c r="A28" s="1" t="s">
        <v>20</v>
      </c>
    </row>
    <row r="29" customFormat="false" ht="15" hidden="false" customHeight="true" outlineLevel="0" collapsed="false">
      <c r="A29" s="1" t="s">
        <v>21</v>
      </c>
    </row>
    <row r="30" customFormat="false" ht="15" hidden="false" customHeight="true" outlineLevel="0" collapsed="false">
      <c r="A30" s="1" t="s">
        <v>22</v>
      </c>
    </row>
    <row r="31" customFormat="false" ht="15" hidden="false" customHeight="true" outlineLevel="0" collapsed="false">
      <c r="A31" s="1" t="s">
        <v>23</v>
      </c>
    </row>
    <row r="33" customFormat="false" ht="15" hidden="false" customHeight="true" outlineLevel="0" collapsed="false">
      <c r="A33" s="1" t="s">
        <v>24</v>
      </c>
    </row>
    <row r="35" customFormat="false" ht="15" hidden="false" customHeight="true" outlineLevel="0" collapsed="false">
      <c r="A35" s="1" t="s">
        <v>13</v>
      </c>
    </row>
    <row r="36" customFormat="false" ht="15" hidden="false" customHeight="true" outlineLevel="0" collapsed="false">
      <c r="A36" s="1" t="s">
        <v>25</v>
      </c>
    </row>
    <row r="37" customFormat="false" ht="15" hidden="false" customHeight="true" outlineLevel="0" collapsed="false">
      <c r="A37" s="1" t="s">
        <v>13</v>
      </c>
    </row>
    <row r="39" customFormat="false" ht="15" hidden="false" customHeight="true" outlineLevel="0" collapsed="false">
      <c r="A39" s="1" t="s">
        <v>26</v>
      </c>
    </row>
    <row r="40" customFormat="false" ht="15" hidden="false" customHeight="true" outlineLevel="0" collapsed="false">
      <c r="A40" s="1" t="s">
        <v>27</v>
      </c>
    </row>
    <row r="41" customFormat="false" ht="15" hidden="false" customHeight="true" outlineLevel="0" collapsed="false">
      <c r="A41" s="1" t="s">
        <v>28</v>
      </c>
    </row>
    <row r="42" customFormat="false" ht="15" hidden="false" customHeight="true" outlineLevel="0" collapsed="false">
      <c r="A42" s="1" t="s">
        <v>29</v>
      </c>
    </row>
    <row r="43" customFormat="false" ht="15" hidden="false" customHeight="true" outlineLevel="0" collapsed="false">
      <c r="A43" s="1" t="s">
        <v>30</v>
      </c>
    </row>
    <row r="44" customFormat="false" ht="15" hidden="false" customHeight="true" outlineLevel="0" collapsed="false">
      <c r="A44" s="1" t="s">
        <v>31</v>
      </c>
    </row>
    <row r="45" customFormat="false" ht="15" hidden="false" customHeight="true" outlineLevel="0" collapsed="false">
      <c r="A45" s="1" t="s">
        <v>32</v>
      </c>
    </row>
    <row r="47" customFormat="false" ht="15" hidden="false" customHeight="true" outlineLevel="0" collapsed="false">
      <c r="A47" s="1" t="s">
        <v>33</v>
      </c>
    </row>
    <row r="49" customFormat="false" ht="15" hidden="false" customHeight="true" outlineLevel="0" collapsed="false">
      <c r="A49" s="1" t="s">
        <v>13</v>
      </c>
    </row>
    <row r="50" customFormat="false" ht="15" hidden="false" customHeight="true" outlineLevel="0" collapsed="false">
      <c r="A50" s="1" t="s">
        <v>34</v>
      </c>
    </row>
    <row r="51" customFormat="false" ht="15" hidden="false" customHeight="true" outlineLevel="0" collapsed="false">
      <c r="A51" s="1" t="s">
        <v>13</v>
      </c>
    </row>
    <row r="53" customFormat="false" ht="15" hidden="false" customHeight="true" outlineLevel="0" collapsed="false">
      <c r="A53" s="1" t="s">
        <v>35</v>
      </c>
    </row>
    <row r="54" customFormat="false" ht="15" hidden="false" customHeight="true" outlineLevel="0" collapsed="false">
      <c r="A54" s="1" t="s">
        <v>36</v>
      </c>
    </row>
    <row r="55" customFormat="false" ht="15" hidden="false" customHeight="true" outlineLevel="0" collapsed="false">
      <c r="A55" s="1" t="s">
        <v>37</v>
      </c>
    </row>
    <row r="56" customFormat="false" ht="15" hidden="false" customHeight="true" outlineLevel="0" collapsed="false">
      <c r="A56" s="1" t="s">
        <v>38</v>
      </c>
    </row>
    <row r="57" customFormat="false" ht="15" hidden="false" customHeight="true" outlineLevel="0" collapsed="false">
      <c r="A57" s="1" t="s">
        <v>39</v>
      </c>
    </row>
    <row r="58" customFormat="false" ht="15" hidden="false" customHeight="true" outlineLevel="0" collapsed="false">
      <c r="A58" s="1" t="s">
        <v>40</v>
      </c>
    </row>
    <row r="59" customFormat="false" ht="15" hidden="false" customHeight="true" outlineLevel="0" collapsed="false">
      <c r="A59" s="1" t="s">
        <v>41</v>
      </c>
    </row>
    <row r="60" customFormat="false" ht="15" hidden="false" customHeight="true" outlineLevel="0" collapsed="false">
      <c r="A60" s="1" t="s">
        <v>42</v>
      </c>
    </row>
    <row r="61" customFormat="false" ht="15" hidden="false" customHeight="true" outlineLevel="0" collapsed="false">
      <c r="A61" s="1" t="s">
        <v>43</v>
      </c>
    </row>
    <row r="62" customFormat="false" ht="15" hidden="false" customHeight="true" outlineLevel="0" collapsed="false">
      <c r="A62" s="1" t="s">
        <v>44</v>
      </c>
    </row>
    <row r="64" customFormat="false" ht="15" hidden="false" customHeight="true" outlineLevel="0" collapsed="false">
      <c r="A64" s="1" t="s">
        <v>13</v>
      </c>
    </row>
    <row r="65" customFormat="false" ht="15" hidden="false" customHeight="true" outlineLevel="0" collapsed="false">
      <c r="A65" s="1" t="s">
        <v>45</v>
      </c>
    </row>
    <row r="66" customFormat="false" ht="15" hidden="false" customHeight="true" outlineLevel="0" collapsed="false">
      <c r="A66" s="1" t="s">
        <v>13</v>
      </c>
    </row>
    <row r="68" customFormat="false" ht="15" hidden="false" customHeight="true" outlineLevel="0" collapsed="false">
      <c r="A68" s="1" t="s">
        <v>46</v>
      </c>
    </row>
    <row r="69" customFormat="false" ht="15" hidden="false" customHeight="true" outlineLevel="0" collapsed="false">
      <c r="A69" s="1" t="s">
        <v>47</v>
      </c>
    </row>
    <row r="70" customFormat="false" ht="15" hidden="false" customHeight="true" outlineLevel="0" collapsed="false">
      <c r="A70" s="1" t="s">
        <v>48</v>
      </c>
    </row>
    <row r="71" customFormat="false" ht="15" hidden="false" customHeight="true" outlineLevel="0" collapsed="false">
      <c r="A71" s="1" t="s">
        <v>49</v>
      </c>
    </row>
    <row r="72" customFormat="false" ht="15" hidden="false" customHeight="true" outlineLevel="0" collapsed="false">
      <c r="A72" s="1" t="s">
        <v>50</v>
      </c>
    </row>
    <row r="73" customFormat="false" ht="15" hidden="false" customHeight="true" outlineLevel="0" collapsed="false">
      <c r="A73" s="1" t="s">
        <v>51</v>
      </c>
    </row>
    <row r="74" customFormat="false" ht="15" hidden="false" customHeight="true" outlineLevel="0" collapsed="false">
      <c r="A74" s="1" t="s">
        <v>52</v>
      </c>
    </row>
    <row r="75" customFormat="false" ht="15" hidden="false" customHeight="false" outlineLevel="0" collapsed="false">
      <c r="A75" s="1"/>
    </row>
    <row r="76" customFormat="false" ht="15" hidden="false" customHeight="false" outlineLevel="0" collapsed="false">
      <c r="A76" s="1" t="s">
        <v>13</v>
      </c>
    </row>
    <row r="77" customFormat="false" ht="15" hidden="false" customHeight="false" outlineLevel="0" collapsed="false">
      <c r="A77" s="1" t="s">
        <v>53</v>
      </c>
    </row>
    <row r="78" customFormat="false" ht="15" hidden="false" customHeight="false" outlineLevel="0" collapsed="false">
      <c r="A78" s="1" t="s">
        <v>13</v>
      </c>
    </row>
    <row r="79" customFormat="false" ht="15" hidden="false" customHeight="false" outlineLevel="0" collapsed="false">
      <c r="A79" s="1"/>
    </row>
    <row r="80" customFormat="false" ht="15" hidden="false" customHeight="false" outlineLevel="0" collapsed="false">
      <c r="A80" s="1" t="s">
        <v>54</v>
      </c>
    </row>
    <row r="81" customFormat="false" ht="15" hidden="false" customHeight="false" outlineLevel="0" collapsed="false">
      <c r="A81" s="1" t="s">
        <v>55</v>
      </c>
    </row>
    <row r="82" customFormat="false" ht="15" hidden="false" customHeight="false" outlineLevel="0" collapsed="false">
      <c r="A82" s="1" t="s">
        <v>56</v>
      </c>
    </row>
    <row r="83" customFormat="false" ht="15" hidden="false" customHeight="false" outlineLevel="0" collapsed="false">
      <c r="A83" s="1"/>
    </row>
    <row r="84" customFormat="false" ht="15" hidden="false" customHeight="false" outlineLevel="0" collapsed="false">
      <c r="A84" s="1" t="s">
        <v>57</v>
      </c>
    </row>
    <row r="85" customFormat="false" ht="15" hidden="false" customHeight="false" outlineLevel="0" collapsed="false">
      <c r="A85" s="1" t="s">
        <v>58</v>
      </c>
    </row>
    <row r="86" customFormat="false" ht="15" hidden="false" customHeight="false" outlineLevel="0" collapsed="false">
      <c r="A86" s="1" t="s">
        <v>59</v>
      </c>
    </row>
    <row r="87" customFormat="false" ht="15" hidden="false" customHeight="false" outlineLevel="0" collapsed="false">
      <c r="A87" s="1"/>
    </row>
    <row r="88" customFormat="false" ht="15" hidden="false" customHeight="false" outlineLevel="0" collapsed="false">
      <c r="A88" s="1" t="s">
        <v>60</v>
      </c>
    </row>
    <row r="89" customFormat="false" ht="15" hidden="false" customHeight="false" outlineLevel="0" collapsed="false">
      <c r="A89" s="1" t="s">
        <v>61</v>
      </c>
    </row>
    <row r="90" customFormat="false" ht="15" hidden="false" customHeight="false" outlineLevel="0" collapsed="false">
      <c r="A90" s="1" t="s">
        <v>62</v>
      </c>
    </row>
    <row r="91" customFormat="false" ht="15" hidden="false" customHeight="false" outlineLevel="0" collapsed="false">
      <c r="A91" s="1" t="s">
        <v>63</v>
      </c>
    </row>
    <row r="92" customFormat="false" ht="15" hidden="false" customHeight="false" outlineLevel="0" collapsed="false">
      <c r="A92" s="1" t="s">
        <v>64</v>
      </c>
    </row>
    <row r="93" customFormat="false" ht="15" hidden="false" customHeight="false" outlineLevel="0" collapsed="false">
      <c r="A93" s="1"/>
    </row>
    <row r="94" customFormat="false" ht="15" hidden="false" customHeight="false" outlineLevel="0" collapsed="false">
      <c r="A94" s="1" t="s">
        <v>65</v>
      </c>
    </row>
    <row r="95" customFormat="false" ht="15" hidden="false" customHeight="false" outlineLevel="0" collapsed="false">
      <c r="A95" s="1" t="s">
        <v>66</v>
      </c>
    </row>
    <row r="96" customFormat="false" ht="15" hidden="false" customHeight="false" outlineLevel="0" collapsed="false">
      <c r="A96" s="1" t="s">
        <v>67</v>
      </c>
    </row>
    <row r="97" customFormat="false" ht="15" hidden="false" customHeight="false" outlineLevel="0" collapsed="false">
      <c r="A97"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68</v>
      </c>
      <c r="B1" s="1" t="s">
        <v>69</v>
      </c>
      <c r="C1" s="1" t="s">
        <v>70</v>
      </c>
      <c r="D1" s="1" t="s">
        <v>71</v>
      </c>
      <c r="E1" s="1" t="s">
        <v>72</v>
      </c>
      <c r="F1" s="1" t="s">
        <v>73</v>
      </c>
      <c r="G1" s="1" t="s">
        <v>74</v>
      </c>
      <c r="H1" s="1" t="s">
        <v>75</v>
      </c>
      <c r="I1" s="1" t="s">
        <v>76</v>
      </c>
      <c r="J1" s="1" t="s">
        <v>77</v>
      </c>
      <c r="K1" s="1" t="s">
        <v>78</v>
      </c>
      <c r="L1" s="1" t="s">
        <v>79</v>
      </c>
      <c r="M1" s="1" t="s">
        <v>80</v>
      </c>
      <c r="N1" s="1" t="s">
        <v>81</v>
      </c>
      <c r="O1" s="1" t="s">
        <v>82</v>
      </c>
      <c r="P1" s="1" t="s">
        <v>83</v>
      </c>
      <c r="Q1" s="1" t="s">
        <v>84</v>
      </c>
      <c r="R1" s="1" t="s">
        <v>85</v>
      </c>
      <c r="S1" s="1" t="s">
        <v>86</v>
      </c>
      <c r="T1" s="1" t="s">
        <v>87</v>
      </c>
      <c r="U1" s="1" t="s">
        <v>88</v>
      </c>
      <c r="V1" s="1" t="s">
        <v>89</v>
      </c>
      <c r="W1" s="1" t="s">
        <v>90</v>
      </c>
      <c r="X1" s="1" t="s">
        <v>91</v>
      </c>
      <c r="Y1" s="1" t="s">
        <v>92</v>
      </c>
      <c r="Z1" s="1" t="s">
        <v>93</v>
      </c>
      <c r="AA1" s="1" t="s">
        <v>94</v>
      </c>
      <c r="AB1" s="1" t="s">
        <v>95</v>
      </c>
      <c r="AC1" s="1" t="s">
        <v>96</v>
      </c>
      <c r="AD1" s="1" t="s">
        <v>97</v>
      </c>
      <c r="AE1" s="1" t="s">
        <v>98</v>
      </c>
    </row>
    <row r="2" customFormat="false" ht="15" hidden="false" customHeight="true" outlineLevel="0" collapsed="false">
      <c r="A2" s="1" t="s">
        <v>99</v>
      </c>
      <c r="B2" s="1" t="s">
        <v>100</v>
      </c>
      <c r="C2" s="1" t="s">
        <v>101</v>
      </c>
      <c r="D2" s="1" t="s">
        <v>102</v>
      </c>
      <c r="E2" s="1" t="s">
        <v>103</v>
      </c>
      <c r="F2" s="1" t="s">
        <v>103</v>
      </c>
      <c r="G2" s="1" t="s">
        <v>104</v>
      </c>
      <c r="H2" s="1" t="s">
        <v>105</v>
      </c>
      <c r="I2" s="1" t="s">
        <v>106</v>
      </c>
      <c r="J2" s="1" t="s">
        <v>107</v>
      </c>
      <c r="K2" s="1" t="n">
        <v>3</v>
      </c>
      <c r="L2" s="1" t="n">
        <v>3</v>
      </c>
      <c r="M2" s="1" t="n">
        <v>1</v>
      </c>
      <c r="N2" s="1" t="n">
        <v>2</v>
      </c>
      <c r="O2" s="1" t="n">
        <v>3</v>
      </c>
      <c r="P2" s="1" t="n">
        <v>3</v>
      </c>
      <c r="Q2" s="1" t="n">
        <v>1</v>
      </c>
      <c r="R2" s="1" t="n">
        <f aca="false">SUM(K2:Q2)</f>
        <v>16</v>
      </c>
      <c r="S2" s="1" t="s">
        <v>108</v>
      </c>
      <c r="T2" s="1" t="s">
        <v>109</v>
      </c>
      <c r="U2" s="1" t="s">
        <v>110</v>
      </c>
      <c r="V2" s="1" t="s">
        <v>111</v>
      </c>
      <c r="W2" s="1" t="s">
        <v>112</v>
      </c>
      <c r="X2" s="1" t="s">
        <v>113</v>
      </c>
      <c r="Y2" s="1" t="s">
        <v>114</v>
      </c>
      <c r="Z2" s="1" t="s">
        <v>115</v>
      </c>
      <c r="AA2" s="1" t="s">
        <v>116</v>
      </c>
      <c r="AB2" s="1" t="s">
        <v>117</v>
      </c>
      <c r="AC2" s="1" t="s">
        <v>118</v>
      </c>
      <c r="AD2" s="1" t="n">
        <f aca="false">IF(MIN(K2:Q2)&gt;=2,1,0)</f>
        <v>0</v>
      </c>
      <c r="AE2" s="1" t="n">
        <f aca="false">IF(MIN(K2:Q2)&gt;=1,1,0)</f>
        <v>1</v>
      </c>
    </row>
    <row r="3" customFormat="false" ht="15" hidden="false" customHeight="true" outlineLevel="0" collapsed="false">
      <c r="A3" s="1" t="s">
        <v>119</v>
      </c>
      <c r="B3" s="1" t="s">
        <v>120</v>
      </c>
      <c r="C3" s="1" t="s">
        <v>121</v>
      </c>
      <c r="D3" s="1" t="s">
        <v>122</v>
      </c>
      <c r="E3" s="1" t="s">
        <v>123</v>
      </c>
      <c r="F3" s="1" t="s">
        <v>123</v>
      </c>
      <c r="G3" s="1" t="s">
        <v>104</v>
      </c>
      <c r="H3" s="1" t="s">
        <v>105</v>
      </c>
      <c r="I3" s="1" t="s">
        <v>124</v>
      </c>
      <c r="J3" s="1" t="s">
        <v>125</v>
      </c>
      <c r="K3" s="1" t="n">
        <v>1</v>
      </c>
      <c r="L3" s="1" t="n">
        <v>0</v>
      </c>
      <c r="M3" s="1" t="n">
        <v>3</v>
      </c>
      <c r="N3" s="1" t="n">
        <v>3</v>
      </c>
      <c r="O3" s="1" t="n">
        <v>2</v>
      </c>
      <c r="P3" s="1" t="n">
        <v>2</v>
      </c>
      <c r="Q3" s="1" t="n">
        <v>2</v>
      </c>
      <c r="R3" s="1" t="n">
        <f aca="false">SUM(K3:Q3)</f>
        <v>13</v>
      </c>
      <c r="S3" s="1" t="s">
        <v>126</v>
      </c>
      <c r="T3" s="1" t="s">
        <v>127</v>
      </c>
      <c r="U3" s="1" t="s">
        <v>128</v>
      </c>
      <c r="V3" s="1" t="s">
        <v>129</v>
      </c>
      <c r="W3" s="1" t="s">
        <v>130</v>
      </c>
      <c r="X3" s="1" t="s">
        <v>131</v>
      </c>
      <c r="Y3" s="1" t="s">
        <v>132</v>
      </c>
      <c r="Z3" s="1" t="s">
        <v>133</v>
      </c>
      <c r="AA3" s="1" t="s">
        <v>116</v>
      </c>
      <c r="AB3" s="1" t="s">
        <v>134</v>
      </c>
      <c r="AC3" s="1" t="s">
        <v>118</v>
      </c>
      <c r="AD3" s="1" t="n">
        <f aca="false">IF(MIN(K3:Q3)&gt;=2,1,0)</f>
        <v>0</v>
      </c>
      <c r="AE3" s="1" t="n">
        <f aca="false">IF(MIN(K3:Q3)&gt;=1,1,0)</f>
        <v>0</v>
      </c>
    </row>
    <row r="4" customFormat="false" ht="15" hidden="false" customHeight="true" outlineLevel="0" collapsed="false">
      <c r="A4" s="1" t="s">
        <v>135</v>
      </c>
      <c r="B4" s="1" t="s">
        <v>136</v>
      </c>
      <c r="C4" s="1" t="s">
        <v>137</v>
      </c>
      <c r="D4" s="1" t="s">
        <v>138</v>
      </c>
      <c r="E4" s="1" t="s">
        <v>139</v>
      </c>
      <c r="F4" s="1" t="s">
        <v>139</v>
      </c>
      <c r="G4" s="1" t="s">
        <v>104</v>
      </c>
      <c r="H4" s="1" t="s">
        <v>105</v>
      </c>
      <c r="I4" s="1" t="s">
        <v>140</v>
      </c>
      <c r="J4" s="1" t="s">
        <v>141</v>
      </c>
      <c r="K4" s="1" t="n">
        <v>0</v>
      </c>
      <c r="L4" s="1" t="n">
        <v>0</v>
      </c>
      <c r="M4" s="1" t="n">
        <v>3</v>
      </c>
      <c r="N4" s="1" t="n">
        <v>3</v>
      </c>
      <c r="O4" s="1" t="n">
        <v>1</v>
      </c>
      <c r="P4" s="1" t="n">
        <v>0</v>
      </c>
      <c r="Q4" s="1" t="n">
        <v>1</v>
      </c>
      <c r="R4" s="1" t="n">
        <f aca="false">SUM(K4:Q4)</f>
        <v>8</v>
      </c>
      <c r="S4" s="1" t="s">
        <v>142</v>
      </c>
      <c r="T4" s="1" t="s">
        <v>143</v>
      </c>
      <c r="U4" s="1" t="s">
        <v>144</v>
      </c>
      <c r="V4" s="1" t="s">
        <v>145</v>
      </c>
      <c r="W4" s="1" t="s">
        <v>146</v>
      </c>
      <c r="X4" s="1" t="s">
        <v>147</v>
      </c>
      <c r="Y4" s="1" t="s">
        <v>148</v>
      </c>
      <c r="Z4" s="1" t="s">
        <v>149</v>
      </c>
      <c r="AA4" s="1" t="s">
        <v>116</v>
      </c>
      <c r="AB4" s="1" t="s">
        <v>150</v>
      </c>
      <c r="AC4" s="1" t="s">
        <v>118</v>
      </c>
      <c r="AD4" s="1" t="n">
        <f aca="false">IF(MIN(K4:Q4)&gt;=2,1,0)</f>
        <v>0</v>
      </c>
      <c r="AE4" s="1" t="n">
        <f aca="false">IF(MIN(K4:Q4)&gt;=1,1,0)</f>
        <v>0</v>
      </c>
    </row>
    <row r="5" customFormat="false" ht="15" hidden="false" customHeight="true" outlineLevel="0" collapsed="false">
      <c r="A5" s="1" t="s">
        <v>151</v>
      </c>
      <c r="B5" s="1" t="s">
        <v>152</v>
      </c>
      <c r="C5" s="1" t="s">
        <v>153</v>
      </c>
      <c r="D5" s="1" t="s">
        <v>154</v>
      </c>
      <c r="E5" s="1" t="s">
        <v>155</v>
      </c>
      <c r="F5" s="1" t="s">
        <v>155</v>
      </c>
      <c r="G5" s="1" t="s">
        <v>104</v>
      </c>
      <c r="H5" s="1" t="s">
        <v>105</v>
      </c>
      <c r="I5" s="1" t="s">
        <v>156</v>
      </c>
      <c r="J5" s="1" t="s">
        <v>157</v>
      </c>
      <c r="K5" s="1" t="n">
        <v>1</v>
      </c>
      <c r="L5" s="1" t="n">
        <v>0</v>
      </c>
      <c r="M5" s="1" t="n">
        <v>3</v>
      </c>
      <c r="N5" s="1" t="n">
        <v>1</v>
      </c>
      <c r="O5" s="1" t="n">
        <v>1</v>
      </c>
      <c r="P5" s="1" t="n">
        <v>1</v>
      </c>
      <c r="Q5" s="1" t="n">
        <v>0</v>
      </c>
      <c r="R5" s="1" t="n">
        <f aca="false">SUM(K5:Q5)</f>
        <v>7</v>
      </c>
      <c r="S5" s="1" t="s">
        <v>158</v>
      </c>
      <c r="T5" s="1" t="s">
        <v>159</v>
      </c>
      <c r="U5" s="1" t="s">
        <v>160</v>
      </c>
      <c r="V5" s="1" t="s">
        <v>161</v>
      </c>
      <c r="W5" s="1" t="s">
        <v>162</v>
      </c>
      <c r="X5" s="1" t="s">
        <v>163</v>
      </c>
      <c r="Y5" s="1" t="s">
        <v>164</v>
      </c>
      <c r="Z5" s="1" t="s">
        <v>165</v>
      </c>
      <c r="AA5" s="1" t="s">
        <v>116</v>
      </c>
      <c r="AB5" s="1" t="s">
        <v>166</v>
      </c>
      <c r="AC5" s="1" t="s">
        <v>118</v>
      </c>
      <c r="AD5" s="1" t="n">
        <f aca="false">IF(MIN(K5:Q5)&gt;=2,1,0)</f>
        <v>0</v>
      </c>
      <c r="AE5" s="1" t="n">
        <f aca="false">IF(MIN(K5:Q5)&gt;=1,1,0)</f>
        <v>0</v>
      </c>
    </row>
    <row r="6" customFormat="false" ht="15" hidden="false" customHeight="true" outlineLevel="0" collapsed="false">
      <c r="A6" s="1" t="s">
        <v>167</v>
      </c>
      <c r="B6" s="1" t="s">
        <v>168</v>
      </c>
      <c r="C6" s="1" t="s">
        <v>169</v>
      </c>
      <c r="D6" s="1" t="s">
        <v>122</v>
      </c>
      <c r="E6" s="1" t="s">
        <v>139</v>
      </c>
      <c r="F6" s="1" t="s">
        <v>139</v>
      </c>
      <c r="G6" s="1" t="s">
        <v>104</v>
      </c>
      <c r="H6" s="1" t="s">
        <v>105</v>
      </c>
      <c r="I6" s="1" t="s">
        <v>170</v>
      </c>
      <c r="J6" s="1" t="s">
        <v>171</v>
      </c>
      <c r="K6" s="1" t="n">
        <v>1</v>
      </c>
      <c r="L6" s="1" t="n">
        <v>1</v>
      </c>
      <c r="M6" s="1" t="n">
        <v>2</v>
      </c>
      <c r="N6" s="1" t="n">
        <v>3</v>
      </c>
      <c r="O6" s="1" t="n">
        <v>3</v>
      </c>
      <c r="P6" s="1" t="n">
        <v>2</v>
      </c>
      <c r="Q6" s="1" t="n">
        <v>1</v>
      </c>
      <c r="R6" s="1" t="n">
        <f aca="false">SUM(K6:Q6)</f>
        <v>13</v>
      </c>
      <c r="S6" s="1" t="s">
        <v>172</v>
      </c>
      <c r="T6" s="1" t="s">
        <v>173</v>
      </c>
      <c r="U6" s="1" t="s">
        <v>174</v>
      </c>
      <c r="V6" s="1" t="s">
        <v>175</v>
      </c>
      <c r="W6" s="1" t="s">
        <v>176</v>
      </c>
      <c r="X6" s="1" t="s">
        <v>177</v>
      </c>
      <c r="Y6" s="1" t="s">
        <v>178</v>
      </c>
      <c r="Z6" s="1" t="s">
        <v>179</v>
      </c>
      <c r="AA6" s="1" t="s">
        <v>116</v>
      </c>
      <c r="AB6" s="1" t="s">
        <v>180</v>
      </c>
      <c r="AC6" s="1" t="s">
        <v>118</v>
      </c>
      <c r="AD6" s="1" t="n">
        <f aca="false">IF(MIN(K6:Q6)&gt;=2,1,0)</f>
        <v>0</v>
      </c>
      <c r="AE6" s="1" t="n">
        <f aca="false">IF(MIN(K6:Q6)&gt;=1,1,0)</f>
        <v>1</v>
      </c>
    </row>
    <row r="7" customFormat="false" ht="15" hidden="false" customHeight="true" outlineLevel="0" collapsed="false">
      <c r="A7" s="1" t="s">
        <v>181</v>
      </c>
      <c r="B7" s="1" t="s">
        <v>182</v>
      </c>
      <c r="C7" s="1" t="s">
        <v>183</v>
      </c>
      <c r="D7" s="1" t="s">
        <v>184</v>
      </c>
      <c r="E7" s="1" t="s">
        <v>155</v>
      </c>
      <c r="F7" s="1" t="s">
        <v>155</v>
      </c>
      <c r="G7" s="1" t="s">
        <v>104</v>
      </c>
      <c r="H7" s="1" t="s">
        <v>105</v>
      </c>
      <c r="I7" s="1" t="s">
        <v>185</v>
      </c>
      <c r="J7" s="1" t="s">
        <v>186</v>
      </c>
      <c r="K7" s="1" t="n">
        <v>2</v>
      </c>
      <c r="L7" s="1" t="n">
        <v>2</v>
      </c>
      <c r="M7" s="1" t="n">
        <v>2</v>
      </c>
      <c r="N7" s="1" t="n">
        <v>1</v>
      </c>
      <c r="O7" s="1" t="n">
        <v>2</v>
      </c>
      <c r="P7" s="1" t="n">
        <v>2</v>
      </c>
      <c r="Q7" s="1" t="n">
        <v>1</v>
      </c>
      <c r="R7" s="1" t="n">
        <f aca="false">SUM(K7:Q7)</f>
        <v>12</v>
      </c>
      <c r="S7" s="1" t="s">
        <v>187</v>
      </c>
      <c r="T7" s="1" t="s">
        <v>188</v>
      </c>
      <c r="U7" s="1" t="s">
        <v>189</v>
      </c>
      <c r="V7" s="1" t="s">
        <v>190</v>
      </c>
      <c r="W7" s="1" t="s">
        <v>191</v>
      </c>
      <c r="X7" s="1" t="s">
        <v>192</v>
      </c>
      <c r="Y7" s="1" t="s">
        <v>193</v>
      </c>
      <c r="Z7" s="1" t="s">
        <v>194</v>
      </c>
      <c r="AA7" s="1" t="s">
        <v>116</v>
      </c>
      <c r="AB7" s="1" t="s">
        <v>195</v>
      </c>
      <c r="AC7" s="1" t="s">
        <v>118</v>
      </c>
      <c r="AD7" s="1" t="n">
        <f aca="false">IF(MIN(K7:Q7)&gt;=2,1,0)</f>
        <v>0</v>
      </c>
      <c r="AE7" s="1" t="n">
        <f aca="false">IF(MIN(K7:Q7)&gt;=1,1,0)</f>
        <v>1</v>
      </c>
    </row>
    <row r="8" customFormat="false" ht="15" hidden="false" customHeight="true" outlineLevel="0" collapsed="false">
      <c r="A8" s="1" t="s">
        <v>196</v>
      </c>
      <c r="B8" s="1" t="s">
        <v>197</v>
      </c>
      <c r="C8" s="1" t="s">
        <v>198</v>
      </c>
      <c r="D8" s="1" t="s">
        <v>199</v>
      </c>
      <c r="E8" s="1" t="s">
        <v>200</v>
      </c>
      <c r="F8" s="1" t="s">
        <v>200</v>
      </c>
      <c r="G8" s="1" t="s">
        <v>104</v>
      </c>
      <c r="H8" s="1" t="s">
        <v>201</v>
      </c>
      <c r="I8" s="1" t="s">
        <v>202</v>
      </c>
      <c r="J8" s="1" t="s">
        <v>203</v>
      </c>
      <c r="K8" s="1" t="n">
        <v>2</v>
      </c>
      <c r="L8" s="1" t="n">
        <v>2</v>
      </c>
      <c r="M8" s="1" t="n">
        <v>3</v>
      </c>
      <c r="N8" s="1" t="n">
        <v>1</v>
      </c>
      <c r="O8" s="1" t="n">
        <v>2</v>
      </c>
      <c r="P8" s="1" t="n">
        <v>2</v>
      </c>
      <c r="Q8" s="1" t="n">
        <v>1</v>
      </c>
      <c r="R8" s="1" t="n">
        <f aca="false">SUM(K8:Q8)</f>
        <v>13</v>
      </c>
      <c r="S8" s="1" t="s">
        <v>204</v>
      </c>
      <c r="T8" s="1" t="s">
        <v>205</v>
      </c>
      <c r="U8" s="1" t="s">
        <v>206</v>
      </c>
      <c r="V8" s="1" t="s">
        <v>207</v>
      </c>
      <c r="W8" s="1" t="s">
        <v>208</v>
      </c>
      <c r="X8" s="1" t="s">
        <v>209</v>
      </c>
      <c r="Y8" s="1" t="s">
        <v>210</v>
      </c>
      <c r="Z8" s="1" t="s">
        <v>211</v>
      </c>
      <c r="AA8" s="1" t="s">
        <v>116</v>
      </c>
      <c r="AB8" s="1" t="s">
        <v>212</v>
      </c>
      <c r="AC8" s="1" t="s">
        <v>118</v>
      </c>
      <c r="AD8" s="1" t="n">
        <f aca="false">IF(MIN(K8:Q8)&gt;=2,1,0)</f>
        <v>0</v>
      </c>
      <c r="AE8" s="1" t="n">
        <f aca="false">IF(MIN(K8:Q8)&gt;=1,1,0)</f>
        <v>1</v>
      </c>
    </row>
    <row r="9" customFormat="false" ht="15" hidden="false" customHeight="true" outlineLevel="0" collapsed="false">
      <c r="A9" s="1" t="s">
        <v>213</v>
      </c>
      <c r="B9" s="1" t="s">
        <v>214</v>
      </c>
      <c r="C9" s="1" t="s">
        <v>215</v>
      </c>
      <c r="D9" s="1" t="s">
        <v>216</v>
      </c>
      <c r="E9" s="1" t="s">
        <v>123</v>
      </c>
      <c r="F9" s="1" t="s">
        <v>123</v>
      </c>
      <c r="G9" s="1" t="s">
        <v>104</v>
      </c>
      <c r="H9" s="1" t="s">
        <v>105</v>
      </c>
      <c r="I9" s="1" t="s">
        <v>217</v>
      </c>
      <c r="J9" s="1" t="s">
        <v>218</v>
      </c>
      <c r="K9" s="1" t="n">
        <v>1</v>
      </c>
      <c r="L9" s="1" t="n">
        <v>1</v>
      </c>
      <c r="M9" s="1" t="n">
        <v>2</v>
      </c>
      <c r="N9" s="1" t="n">
        <v>1</v>
      </c>
      <c r="O9" s="1" t="n">
        <v>1</v>
      </c>
      <c r="P9" s="1" t="n">
        <v>3</v>
      </c>
      <c r="Q9" s="1" t="n">
        <v>2</v>
      </c>
      <c r="R9" s="1" t="n">
        <f aca="false">SUM(K9:Q9)</f>
        <v>11</v>
      </c>
      <c r="S9" s="1" t="s">
        <v>219</v>
      </c>
      <c r="T9" s="1" t="s">
        <v>220</v>
      </c>
      <c r="U9" s="1" t="s">
        <v>221</v>
      </c>
      <c r="V9" s="1" t="s">
        <v>222</v>
      </c>
      <c r="W9" s="1" t="s">
        <v>223</v>
      </c>
      <c r="X9" s="1" t="s">
        <v>224</v>
      </c>
      <c r="Y9" s="1" t="s">
        <v>225</v>
      </c>
      <c r="Z9" s="1" t="s">
        <v>226</v>
      </c>
      <c r="AA9" s="1" t="s">
        <v>116</v>
      </c>
      <c r="AB9" s="1" t="s">
        <v>227</v>
      </c>
      <c r="AC9" s="1" t="s">
        <v>118</v>
      </c>
      <c r="AD9" s="1" t="n">
        <f aca="false">IF(MIN(K9:Q9)&gt;=2,1,0)</f>
        <v>0</v>
      </c>
      <c r="AE9" s="1" t="n">
        <f aca="false">IF(MIN(K9:Q9)&gt;=1,1,0)</f>
        <v>1</v>
      </c>
    </row>
    <row r="10" customFormat="false" ht="15" hidden="false" customHeight="true" outlineLevel="0" collapsed="false">
      <c r="A10" s="1" t="s">
        <v>228</v>
      </c>
      <c r="B10" s="1" t="s">
        <v>229</v>
      </c>
      <c r="C10" s="1" t="s">
        <v>230</v>
      </c>
      <c r="D10" s="1" t="s">
        <v>231</v>
      </c>
      <c r="E10" s="1" t="s">
        <v>232</v>
      </c>
      <c r="F10" s="1" t="s">
        <v>232</v>
      </c>
      <c r="G10" s="1" t="s">
        <v>104</v>
      </c>
      <c r="H10" s="1" t="s">
        <v>233</v>
      </c>
      <c r="I10" s="1" t="s">
        <v>234</v>
      </c>
      <c r="J10" s="1" t="s">
        <v>235</v>
      </c>
      <c r="K10" s="1" t="n">
        <v>2</v>
      </c>
      <c r="L10" s="1" t="n">
        <v>2</v>
      </c>
      <c r="M10" s="1" t="n">
        <v>2</v>
      </c>
      <c r="N10" s="1" t="n">
        <v>1</v>
      </c>
      <c r="O10" s="1" t="n">
        <v>2</v>
      </c>
      <c r="P10" s="1" t="n">
        <v>2</v>
      </c>
      <c r="Q10" s="1" t="n">
        <v>1</v>
      </c>
      <c r="R10" s="1" t="n">
        <f aca="false">SUM(K10:Q10)</f>
        <v>12</v>
      </c>
      <c r="S10" s="1" t="s">
        <v>236</v>
      </c>
      <c r="T10" s="1" t="s">
        <v>237</v>
      </c>
      <c r="U10" s="1" t="s">
        <v>238</v>
      </c>
      <c r="V10" s="1" t="s">
        <v>239</v>
      </c>
      <c r="W10" s="1" t="s">
        <v>240</v>
      </c>
      <c r="X10" s="1" t="s">
        <v>241</v>
      </c>
      <c r="Y10" s="1" t="s">
        <v>242</v>
      </c>
      <c r="Z10" s="1" t="s">
        <v>243</v>
      </c>
      <c r="AA10" s="1" t="s">
        <v>116</v>
      </c>
      <c r="AB10" s="1" t="s">
        <v>244</v>
      </c>
      <c r="AC10" s="1" t="s">
        <v>118</v>
      </c>
      <c r="AD10" s="1" t="n">
        <f aca="false">IF(MIN(K10:Q10)&gt;=2,1,0)</f>
        <v>0</v>
      </c>
      <c r="AE10" s="1" t="n">
        <f aca="false">IF(MIN(K10:Q10)&gt;=1,1,0)</f>
        <v>1</v>
      </c>
    </row>
    <row r="11" customFormat="false" ht="15" hidden="false" customHeight="true" outlineLevel="0" collapsed="false">
      <c r="A11" s="1" t="s">
        <v>245</v>
      </c>
      <c r="B11" s="1" t="s">
        <v>246</v>
      </c>
      <c r="C11" s="1" t="s">
        <v>247</v>
      </c>
      <c r="D11" s="1" t="s">
        <v>248</v>
      </c>
      <c r="E11" s="1" t="s">
        <v>123</v>
      </c>
      <c r="F11" s="1" t="s">
        <v>249</v>
      </c>
      <c r="G11" s="1" t="s">
        <v>104</v>
      </c>
      <c r="H11" s="1" t="s">
        <v>105</v>
      </c>
      <c r="I11" s="1" t="s">
        <v>106</v>
      </c>
      <c r="J11" s="1" t="s">
        <v>250</v>
      </c>
      <c r="K11" s="1" t="n">
        <v>2</v>
      </c>
      <c r="L11" s="1" t="n">
        <v>1</v>
      </c>
      <c r="M11" s="1" t="n">
        <v>1</v>
      </c>
      <c r="N11" s="1" t="n">
        <v>2</v>
      </c>
      <c r="O11" s="1" t="n">
        <v>2</v>
      </c>
      <c r="P11" s="1" t="n">
        <v>1</v>
      </c>
      <c r="Q11" s="1" t="n">
        <v>0</v>
      </c>
      <c r="R11" s="1" t="n">
        <f aca="false">SUM(K11:Q11)</f>
        <v>9</v>
      </c>
      <c r="S11" s="1" t="s">
        <v>251</v>
      </c>
      <c r="T11" s="1" t="s">
        <v>252</v>
      </c>
      <c r="U11" s="1" t="s">
        <v>253</v>
      </c>
      <c r="V11" s="1" t="s">
        <v>254</v>
      </c>
      <c r="W11" s="1" t="s">
        <v>255</v>
      </c>
      <c r="X11" s="1" t="s">
        <v>256</v>
      </c>
      <c r="Y11" s="1" t="s">
        <v>164</v>
      </c>
      <c r="Z11" s="1" t="s">
        <v>257</v>
      </c>
      <c r="AA11" s="1" t="s">
        <v>116</v>
      </c>
      <c r="AB11" s="1" t="s">
        <v>258</v>
      </c>
      <c r="AC11" s="1" t="s">
        <v>118</v>
      </c>
      <c r="AD11" s="1" t="n">
        <f aca="false">IF(MIN(K11:Q11)&gt;=2,1,0)</f>
        <v>0</v>
      </c>
      <c r="AE11" s="1" t="n">
        <f aca="false">IF(MIN(K11:Q11)&gt;=1,1,0)</f>
        <v>0</v>
      </c>
    </row>
    <row r="12" customFormat="false" ht="15" hidden="false" customHeight="true" outlineLevel="0" collapsed="false">
      <c r="A12" s="1" t="s">
        <v>259</v>
      </c>
      <c r="B12" s="1" t="s">
        <v>260</v>
      </c>
      <c r="C12" s="1" t="s">
        <v>261</v>
      </c>
      <c r="D12" s="1" t="s">
        <v>231</v>
      </c>
      <c r="E12" s="1" t="s">
        <v>123</v>
      </c>
      <c r="F12" s="1" t="s">
        <v>249</v>
      </c>
      <c r="G12" s="1" t="s">
        <v>104</v>
      </c>
      <c r="H12" s="1" t="s">
        <v>105</v>
      </c>
      <c r="I12" s="1" t="s">
        <v>106</v>
      </c>
      <c r="J12" s="1" t="s">
        <v>262</v>
      </c>
      <c r="K12" s="1" t="n">
        <v>1</v>
      </c>
      <c r="L12" s="1" t="n">
        <v>0</v>
      </c>
      <c r="M12" s="1" t="n">
        <v>1</v>
      </c>
      <c r="N12" s="1" t="n">
        <v>2</v>
      </c>
      <c r="O12" s="1" t="n">
        <v>2</v>
      </c>
      <c r="P12" s="1" t="n">
        <v>0</v>
      </c>
      <c r="Q12" s="1" t="n">
        <v>0</v>
      </c>
      <c r="R12" s="1" t="n">
        <f aca="false">SUM(K12:Q12)</f>
        <v>6</v>
      </c>
      <c r="S12" s="1" t="s">
        <v>263</v>
      </c>
      <c r="T12" s="1" t="s">
        <v>264</v>
      </c>
      <c r="U12" s="1" t="s">
        <v>265</v>
      </c>
      <c r="V12" s="1" t="s">
        <v>266</v>
      </c>
      <c r="W12" s="1" t="s">
        <v>267</v>
      </c>
      <c r="X12" s="1" t="s">
        <v>268</v>
      </c>
      <c r="Y12" s="1" t="s">
        <v>164</v>
      </c>
      <c r="Z12" s="1" t="s">
        <v>269</v>
      </c>
      <c r="AA12" s="1" t="s">
        <v>116</v>
      </c>
      <c r="AB12" s="1" t="s">
        <v>270</v>
      </c>
      <c r="AC12" s="1" t="s">
        <v>118</v>
      </c>
      <c r="AD12" s="1" t="n">
        <f aca="false">IF(MIN(K12:Q12)&gt;=2,1,0)</f>
        <v>0</v>
      </c>
      <c r="AE12" s="1" t="n">
        <f aca="false">IF(MIN(K12:Q12)&gt;=1,1,0)</f>
        <v>0</v>
      </c>
    </row>
    <row r="13" customFormat="false" ht="15" hidden="false" customHeight="true" outlineLevel="0" collapsed="false">
      <c r="A13" s="1" t="s">
        <v>271</v>
      </c>
      <c r="B13" s="1" t="s">
        <v>272</v>
      </c>
      <c r="C13" s="1" t="s">
        <v>273</v>
      </c>
      <c r="D13" s="1" t="s">
        <v>274</v>
      </c>
      <c r="E13" s="1" t="s">
        <v>123</v>
      </c>
      <c r="F13" s="1" t="s">
        <v>249</v>
      </c>
      <c r="G13" s="1" t="s">
        <v>104</v>
      </c>
      <c r="H13" s="1" t="s">
        <v>105</v>
      </c>
      <c r="I13" s="1" t="s">
        <v>106</v>
      </c>
      <c r="J13" s="1" t="s">
        <v>275</v>
      </c>
      <c r="K13" s="1" t="n">
        <v>2</v>
      </c>
      <c r="L13" s="1" t="n">
        <v>2</v>
      </c>
      <c r="M13" s="1" t="n">
        <v>1</v>
      </c>
      <c r="N13" s="1" t="n">
        <v>2</v>
      </c>
      <c r="O13" s="1" t="n">
        <v>2</v>
      </c>
      <c r="P13" s="1" t="n">
        <v>2</v>
      </c>
      <c r="Q13" s="1" t="n">
        <v>1</v>
      </c>
      <c r="R13" s="1" t="n">
        <f aca="false">SUM(K13:Q13)</f>
        <v>12</v>
      </c>
      <c r="S13" s="1" t="s">
        <v>276</v>
      </c>
      <c r="T13" s="1" t="s">
        <v>277</v>
      </c>
      <c r="U13" s="1" t="s">
        <v>278</v>
      </c>
      <c r="V13" s="1" t="s">
        <v>279</v>
      </c>
      <c r="W13" s="1" t="s">
        <v>280</v>
      </c>
      <c r="X13" s="1" t="s">
        <v>281</v>
      </c>
      <c r="Y13" s="1" t="s">
        <v>282</v>
      </c>
      <c r="Z13" s="1" t="s">
        <v>283</v>
      </c>
      <c r="AA13" s="1" t="s">
        <v>116</v>
      </c>
      <c r="AB13" s="1" t="s">
        <v>284</v>
      </c>
      <c r="AC13" s="1" t="s">
        <v>118</v>
      </c>
      <c r="AD13" s="1" t="n">
        <f aca="false">IF(MIN(K13:Q13)&gt;=2,1,0)</f>
        <v>0</v>
      </c>
      <c r="AE13" s="1" t="n">
        <f aca="false">IF(MIN(K13:Q13)&gt;=1,1,0)</f>
        <v>1</v>
      </c>
    </row>
    <row r="14" customFormat="false" ht="15" hidden="false" customHeight="true" outlineLevel="0" collapsed="false">
      <c r="A14" s="1" t="s">
        <v>285</v>
      </c>
      <c r="B14" s="1" t="s">
        <v>286</v>
      </c>
      <c r="C14" s="1" t="s">
        <v>287</v>
      </c>
      <c r="D14" s="1" t="s">
        <v>288</v>
      </c>
      <c r="E14" s="1" t="s">
        <v>139</v>
      </c>
      <c r="F14" s="1" t="s">
        <v>139</v>
      </c>
      <c r="G14" s="1" t="s">
        <v>104</v>
      </c>
      <c r="H14" s="1" t="s">
        <v>105</v>
      </c>
      <c r="I14" s="1" t="s">
        <v>289</v>
      </c>
      <c r="J14" s="1" t="s">
        <v>290</v>
      </c>
      <c r="K14" s="1" t="n">
        <v>1</v>
      </c>
      <c r="L14" s="1" t="n">
        <v>0</v>
      </c>
      <c r="M14" s="1" t="n">
        <v>1</v>
      </c>
      <c r="N14" s="1" t="n">
        <v>2</v>
      </c>
      <c r="O14" s="1" t="n">
        <v>1</v>
      </c>
      <c r="P14" s="1" t="n">
        <v>0</v>
      </c>
      <c r="Q14" s="1" t="n">
        <v>0</v>
      </c>
      <c r="R14" s="1" t="n">
        <f aca="false">SUM(K14:Q14)</f>
        <v>5</v>
      </c>
      <c r="S14" s="1" t="s">
        <v>291</v>
      </c>
      <c r="T14" s="1" t="s">
        <v>264</v>
      </c>
      <c r="U14" s="1" t="s">
        <v>292</v>
      </c>
      <c r="V14" s="1" t="s">
        <v>293</v>
      </c>
      <c r="W14" s="1" t="s">
        <v>294</v>
      </c>
      <c r="X14" s="1" t="s">
        <v>268</v>
      </c>
      <c r="Y14" s="1" t="s">
        <v>164</v>
      </c>
      <c r="Z14" s="1" t="s">
        <v>295</v>
      </c>
      <c r="AA14" s="1" t="s">
        <v>116</v>
      </c>
      <c r="AB14" s="1" t="s">
        <v>296</v>
      </c>
      <c r="AC14" s="1" t="s">
        <v>118</v>
      </c>
      <c r="AD14" s="1" t="n">
        <f aca="false">IF(MIN(K14:Q14)&gt;=2,1,0)</f>
        <v>0</v>
      </c>
      <c r="AE14" s="1" t="n">
        <f aca="false">IF(MIN(K14:Q14)&gt;=1,1,0)</f>
        <v>0</v>
      </c>
    </row>
    <row r="15" customFormat="false" ht="15" hidden="false" customHeight="true" outlineLevel="0" collapsed="false">
      <c r="A15" s="1" t="s">
        <v>297</v>
      </c>
      <c r="B15" s="1" t="s">
        <v>298</v>
      </c>
      <c r="C15" s="1" t="s">
        <v>299</v>
      </c>
      <c r="D15" s="1" t="s">
        <v>300</v>
      </c>
      <c r="E15" s="1" t="s">
        <v>123</v>
      </c>
      <c r="F15" s="1" t="s">
        <v>249</v>
      </c>
      <c r="G15" s="1" t="s">
        <v>104</v>
      </c>
      <c r="H15" s="1" t="s">
        <v>105</v>
      </c>
      <c r="I15" s="1" t="s">
        <v>289</v>
      </c>
      <c r="J15" s="1" t="s">
        <v>301</v>
      </c>
      <c r="K15" s="1" t="n">
        <v>1</v>
      </c>
      <c r="L15" s="1" t="n">
        <v>1</v>
      </c>
      <c r="M15" s="1" t="n">
        <v>1</v>
      </c>
      <c r="N15" s="1" t="n">
        <v>2</v>
      </c>
      <c r="O15" s="1" t="n">
        <v>2</v>
      </c>
      <c r="P15" s="1" t="n">
        <v>0</v>
      </c>
      <c r="Q15" s="1" t="n">
        <v>0</v>
      </c>
      <c r="R15" s="1" t="n">
        <f aca="false">SUM(K15:Q15)</f>
        <v>7</v>
      </c>
      <c r="S15" s="1" t="s">
        <v>302</v>
      </c>
      <c r="T15" s="1" t="s">
        <v>303</v>
      </c>
      <c r="U15" s="1" t="s">
        <v>292</v>
      </c>
      <c r="V15" s="1" t="s">
        <v>304</v>
      </c>
      <c r="W15" s="1" t="s">
        <v>305</v>
      </c>
      <c r="X15" s="1" t="s">
        <v>306</v>
      </c>
      <c r="Y15" s="1" t="s">
        <v>164</v>
      </c>
      <c r="Z15" s="1" t="s">
        <v>307</v>
      </c>
      <c r="AA15" s="1" t="s">
        <v>116</v>
      </c>
      <c r="AB15" s="1" t="s">
        <v>308</v>
      </c>
      <c r="AC15" s="1" t="s">
        <v>118</v>
      </c>
      <c r="AD15" s="1" t="n">
        <f aca="false">IF(MIN(K15:Q15)&gt;=2,1,0)</f>
        <v>0</v>
      </c>
      <c r="AE15" s="1" t="n">
        <f aca="false">IF(MIN(K15:Q15)&gt;=1,1,0)</f>
        <v>0</v>
      </c>
    </row>
    <row r="16" customFormat="false" ht="15" hidden="false" customHeight="true" outlineLevel="0" collapsed="false">
      <c r="A16" s="1" t="s">
        <v>309</v>
      </c>
      <c r="B16" s="1" t="s">
        <v>310</v>
      </c>
      <c r="C16" s="1" t="s">
        <v>311</v>
      </c>
      <c r="D16" s="1" t="s">
        <v>231</v>
      </c>
      <c r="E16" s="1" t="s">
        <v>139</v>
      </c>
      <c r="F16" s="1" t="s">
        <v>139</v>
      </c>
      <c r="G16" s="1" t="s">
        <v>104</v>
      </c>
      <c r="H16" s="1" t="s">
        <v>105</v>
      </c>
      <c r="I16" s="1" t="s">
        <v>289</v>
      </c>
      <c r="J16" s="1" t="s">
        <v>312</v>
      </c>
      <c r="K16" s="1" t="n">
        <v>0</v>
      </c>
      <c r="L16" s="1" t="n">
        <v>0</v>
      </c>
      <c r="M16" s="1" t="n">
        <v>1</v>
      </c>
      <c r="N16" s="1" t="n">
        <v>3</v>
      </c>
      <c r="O16" s="1" t="n">
        <v>1</v>
      </c>
      <c r="P16" s="1" t="n">
        <v>0</v>
      </c>
      <c r="Q16" s="1" t="n">
        <v>0</v>
      </c>
      <c r="R16" s="1" t="n">
        <f aca="false">SUM(K16:Q16)</f>
        <v>5</v>
      </c>
      <c r="S16" s="1" t="s">
        <v>313</v>
      </c>
      <c r="T16" s="1" t="s">
        <v>264</v>
      </c>
      <c r="U16" s="1" t="s">
        <v>292</v>
      </c>
      <c r="V16" s="1" t="s">
        <v>314</v>
      </c>
      <c r="W16" s="1" t="s">
        <v>315</v>
      </c>
      <c r="X16" s="1" t="s">
        <v>316</v>
      </c>
      <c r="Y16" s="1" t="s">
        <v>164</v>
      </c>
      <c r="Z16" s="1" t="s">
        <v>317</v>
      </c>
      <c r="AA16" s="1" t="s">
        <v>116</v>
      </c>
      <c r="AB16" s="1" t="s">
        <v>318</v>
      </c>
      <c r="AC16" s="1" t="s">
        <v>118</v>
      </c>
      <c r="AD16" s="1" t="n">
        <f aca="false">IF(MIN(K16:Q16)&gt;=2,1,0)</f>
        <v>0</v>
      </c>
      <c r="AE16" s="1" t="n">
        <f aca="false">IF(MIN(K16:Q16)&gt;=1,1,0)</f>
        <v>0</v>
      </c>
    </row>
    <row r="17" customFormat="false" ht="15" hidden="false" customHeight="true" outlineLevel="0" collapsed="false">
      <c r="A17" s="1" t="s">
        <v>319</v>
      </c>
      <c r="B17" s="1" t="s">
        <v>320</v>
      </c>
      <c r="C17" s="1" t="s">
        <v>321</v>
      </c>
      <c r="D17" s="1" t="s">
        <v>322</v>
      </c>
      <c r="E17" s="1" t="s">
        <v>123</v>
      </c>
      <c r="F17" s="1" t="s">
        <v>249</v>
      </c>
      <c r="G17" s="1" t="s">
        <v>104</v>
      </c>
      <c r="H17" s="1" t="s">
        <v>105</v>
      </c>
      <c r="I17" s="1" t="s">
        <v>156</v>
      </c>
      <c r="J17" s="1" t="s">
        <v>323</v>
      </c>
      <c r="K17" s="1" t="n">
        <v>1</v>
      </c>
      <c r="L17" s="1" t="n">
        <v>0</v>
      </c>
      <c r="M17" s="1" t="n">
        <v>2</v>
      </c>
      <c r="N17" s="1" t="n">
        <v>1</v>
      </c>
      <c r="O17" s="1" t="n">
        <v>1</v>
      </c>
      <c r="P17" s="1" t="n">
        <v>0</v>
      </c>
      <c r="Q17" s="1" t="n">
        <v>0</v>
      </c>
      <c r="R17" s="1" t="n">
        <f aca="false">SUM(K17:Q17)</f>
        <v>5</v>
      </c>
      <c r="S17" s="1" t="s">
        <v>324</v>
      </c>
      <c r="T17" s="1" t="s">
        <v>264</v>
      </c>
      <c r="U17" s="1" t="s">
        <v>325</v>
      </c>
      <c r="V17" s="1" t="s">
        <v>326</v>
      </c>
      <c r="W17" s="1" t="s">
        <v>327</v>
      </c>
      <c r="X17" s="1" t="s">
        <v>328</v>
      </c>
      <c r="Y17" s="1" t="s">
        <v>164</v>
      </c>
      <c r="Z17" s="1" t="s">
        <v>329</v>
      </c>
      <c r="AA17" s="1" t="s">
        <v>116</v>
      </c>
      <c r="AB17" s="1" t="s">
        <v>330</v>
      </c>
      <c r="AC17" s="1" t="s">
        <v>118</v>
      </c>
      <c r="AD17" s="1" t="n">
        <f aca="false">IF(MIN(K17:Q17)&gt;=2,1,0)</f>
        <v>0</v>
      </c>
      <c r="AE17" s="1" t="n">
        <f aca="false">IF(MIN(K17:Q17)&gt;=1,1,0)</f>
        <v>0</v>
      </c>
    </row>
    <row r="18" customFormat="false" ht="15" hidden="false" customHeight="true" outlineLevel="0" collapsed="false">
      <c r="A18" s="1" t="s">
        <v>331</v>
      </c>
      <c r="B18" s="1" t="s">
        <v>332</v>
      </c>
      <c r="C18" s="1" t="s">
        <v>333</v>
      </c>
      <c r="D18" s="1" t="s">
        <v>231</v>
      </c>
      <c r="E18" s="1" t="s">
        <v>123</v>
      </c>
      <c r="F18" s="1" t="s">
        <v>249</v>
      </c>
      <c r="G18" s="1" t="s">
        <v>104</v>
      </c>
      <c r="H18" s="1" t="s">
        <v>105</v>
      </c>
      <c r="I18" s="1" t="s">
        <v>156</v>
      </c>
      <c r="J18" s="1" t="s">
        <v>334</v>
      </c>
      <c r="K18" s="1" t="n">
        <v>1</v>
      </c>
      <c r="L18" s="1" t="n">
        <v>0</v>
      </c>
      <c r="M18" s="1" t="n">
        <v>2</v>
      </c>
      <c r="N18" s="1" t="n">
        <v>1</v>
      </c>
      <c r="O18" s="1" t="n">
        <v>1</v>
      </c>
      <c r="P18" s="1" t="n">
        <v>0</v>
      </c>
      <c r="Q18" s="1" t="n">
        <v>0</v>
      </c>
      <c r="R18" s="1" t="n">
        <f aca="false">SUM(K18:Q18)</f>
        <v>5</v>
      </c>
      <c r="S18" s="1" t="s">
        <v>335</v>
      </c>
      <c r="T18" s="1" t="s">
        <v>264</v>
      </c>
      <c r="U18" s="1" t="s">
        <v>336</v>
      </c>
      <c r="V18" s="1" t="s">
        <v>337</v>
      </c>
      <c r="W18" s="1" t="s">
        <v>338</v>
      </c>
      <c r="X18" s="1" t="s">
        <v>339</v>
      </c>
      <c r="Y18" s="1" t="s">
        <v>164</v>
      </c>
      <c r="Z18" s="1" t="s">
        <v>340</v>
      </c>
      <c r="AA18" s="1" t="s">
        <v>116</v>
      </c>
      <c r="AB18" s="1" t="s">
        <v>341</v>
      </c>
      <c r="AC18" s="1" t="s">
        <v>118</v>
      </c>
      <c r="AD18" s="1" t="n">
        <f aca="false">IF(MIN(K18:Q18)&gt;=2,1,0)</f>
        <v>0</v>
      </c>
      <c r="AE18" s="1" t="n">
        <f aca="false">IF(MIN(K18:Q18)&gt;=1,1,0)</f>
        <v>0</v>
      </c>
    </row>
    <row r="19" customFormat="false" ht="15" hidden="false" customHeight="true" outlineLevel="0" collapsed="false">
      <c r="A19" s="1" t="s">
        <v>342</v>
      </c>
      <c r="B19" s="1" t="s">
        <v>343</v>
      </c>
      <c r="C19" s="1" t="s">
        <v>344</v>
      </c>
      <c r="D19" s="1" t="s">
        <v>322</v>
      </c>
      <c r="E19" s="1" t="s">
        <v>123</v>
      </c>
      <c r="F19" s="1" t="s">
        <v>249</v>
      </c>
      <c r="G19" s="1" t="s">
        <v>104</v>
      </c>
      <c r="H19" s="1" t="s">
        <v>105</v>
      </c>
      <c r="I19" s="1" t="s">
        <v>156</v>
      </c>
      <c r="J19" s="1" t="s">
        <v>345</v>
      </c>
      <c r="K19" s="1" t="n">
        <v>1</v>
      </c>
      <c r="L19" s="1" t="n">
        <v>0</v>
      </c>
      <c r="M19" s="1" t="n">
        <v>2</v>
      </c>
      <c r="N19" s="1" t="n">
        <v>1</v>
      </c>
      <c r="O19" s="1" t="n">
        <v>1</v>
      </c>
      <c r="P19" s="1" t="n">
        <v>0</v>
      </c>
      <c r="Q19" s="1" t="n">
        <v>0</v>
      </c>
      <c r="R19" s="1" t="n">
        <f aca="false">SUM(K19:Q19)</f>
        <v>5</v>
      </c>
      <c r="S19" s="1" t="s">
        <v>346</v>
      </c>
      <c r="T19" s="1" t="s">
        <v>264</v>
      </c>
      <c r="U19" s="1" t="s">
        <v>347</v>
      </c>
      <c r="V19" s="1" t="s">
        <v>348</v>
      </c>
      <c r="W19" s="1" t="s">
        <v>349</v>
      </c>
      <c r="X19" s="1" t="s">
        <v>350</v>
      </c>
      <c r="Y19" s="1" t="s">
        <v>164</v>
      </c>
      <c r="Z19" s="1" t="s">
        <v>351</v>
      </c>
      <c r="AA19" s="1" t="s">
        <v>116</v>
      </c>
      <c r="AB19" s="1" t="s">
        <v>352</v>
      </c>
      <c r="AC19" s="1" t="s">
        <v>118</v>
      </c>
      <c r="AD19" s="1" t="n">
        <f aca="false">IF(MIN(K19:Q19)&gt;=2,1,0)</f>
        <v>0</v>
      </c>
      <c r="AE19" s="1" t="n">
        <f aca="false">IF(MIN(K19:Q19)&gt;=1,1,0)</f>
        <v>0</v>
      </c>
    </row>
    <row r="20" customFormat="false" ht="15" hidden="false" customHeight="true" outlineLevel="0" collapsed="false">
      <c r="A20" s="1" t="s">
        <v>353</v>
      </c>
      <c r="B20" s="1" t="s">
        <v>354</v>
      </c>
      <c r="C20" s="1" t="s">
        <v>355</v>
      </c>
      <c r="D20" s="1" t="s">
        <v>356</v>
      </c>
      <c r="E20" s="1" t="s">
        <v>139</v>
      </c>
      <c r="F20" s="1" t="s">
        <v>139</v>
      </c>
      <c r="G20" s="1" t="s">
        <v>104</v>
      </c>
      <c r="H20" s="1" t="s">
        <v>105</v>
      </c>
      <c r="I20" s="1" t="s">
        <v>156</v>
      </c>
      <c r="J20" s="1" t="s">
        <v>357</v>
      </c>
      <c r="K20" s="1" t="n">
        <v>2</v>
      </c>
      <c r="L20" s="1" t="n">
        <v>1</v>
      </c>
      <c r="M20" s="1" t="n">
        <v>2</v>
      </c>
      <c r="N20" s="1" t="n">
        <v>2</v>
      </c>
      <c r="O20" s="1" t="n">
        <v>2</v>
      </c>
      <c r="P20" s="1" t="n">
        <v>1</v>
      </c>
      <c r="Q20" s="1" t="n">
        <v>1</v>
      </c>
      <c r="R20" s="1" t="n">
        <f aca="false">SUM(K20:Q20)</f>
        <v>11</v>
      </c>
      <c r="S20" s="1" t="s">
        <v>358</v>
      </c>
      <c r="T20" s="1" t="s">
        <v>359</v>
      </c>
      <c r="U20" s="1" t="s">
        <v>360</v>
      </c>
      <c r="V20" s="1" t="s">
        <v>361</v>
      </c>
      <c r="W20" s="1" t="s">
        <v>362</v>
      </c>
      <c r="X20" s="1" t="s">
        <v>363</v>
      </c>
      <c r="Y20" s="1" t="s">
        <v>364</v>
      </c>
      <c r="Z20" s="1" t="s">
        <v>365</v>
      </c>
      <c r="AA20" s="1" t="s">
        <v>116</v>
      </c>
      <c r="AB20" s="1" t="s">
        <v>366</v>
      </c>
      <c r="AC20" s="1" t="s">
        <v>118</v>
      </c>
      <c r="AD20" s="1" t="n">
        <f aca="false">IF(MIN(K20:Q20)&gt;=2,1,0)</f>
        <v>0</v>
      </c>
      <c r="AE20" s="1" t="n">
        <f aca="false">IF(MIN(K20:Q20)&gt;=1,1,0)</f>
        <v>1</v>
      </c>
    </row>
    <row r="21" customFormat="false" ht="15" hidden="false" customHeight="true" outlineLevel="0" collapsed="false">
      <c r="A21" s="1" t="s">
        <v>367</v>
      </c>
      <c r="B21" s="1" t="s">
        <v>368</v>
      </c>
      <c r="C21" s="1" t="s">
        <v>369</v>
      </c>
      <c r="D21" s="1" t="s">
        <v>370</v>
      </c>
      <c r="E21" s="1" t="s">
        <v>123</v>
      </c>
      <c r="F21" s="1" t="s">
        <v>123</v>
      </c>
      <c r="G21" s="1" t="s">
        <v>104</v>
      </c>
      <c r="H21" s="1" t="s">
        <v>105</v>
      </c>
      <c r="I21" s="1" t="s">
        <v>371</v>
      </c>
      <c r="J21" s="1" t="s">
        <v>372</v>
      </c>
      <c r="K21" s="1" t="n">
        <v>2</v>
      </c>
      <c r="L21" s="1" t="n">
        <v>1</v>
      </c>
      <c r="M21" s="1" t="n">
        <v>1</v>
      </c>
      <c r="N21" s="1" t="n">
        <v>1</v>
      </c>
      <c r="O21" s="1" t="n">
        <v>1</v>
      </c>
      <c r="P21" s="1" t="n">
        <v>1</v>
      </c>
      <c r="Q21" s="1" t="n">
        <v>0</v>
      </c>
      <c r="R21" s="1" t="n">
        <f aca="false">SUM(K21:Q21)</f>
        <v>7</v>
      </c>
      <c r="S21" s="1" t="s">
        <v>373</v>
      </c>
      <c r="T21" s="1" t="s">
        <v>374</v>
      </c>
      <c r="U21" s="1" t="s">
        <v>375</v>
      </c>
      <c r="V21" s="1" t="s">
        <v>376</v>
      </c>
      <c r="W21" s="1" t="s">
        <v>377</v>
      </c>
      <c r="X21" s="1" t="s">
        <v>378</v>
      </c>
      <c r="Y21" s="1" t="s">
        <v>164</v>
      </c>
      <c r="Z21" s="1" t="s">
        <v>379</v>
      </c>
      <c r="AA21" s="1" t="s">
        <v>116</v>
      </c>
      <c r="AB21" s="1" t="s">
        <v>380</v>
      </c>
      <c r="AC21" s="1" t="s">
        <v>118</v>
      </c>
      <c r="AD21" s="1" t="n">
        <f aca="false">IF(MIN(K21:Q21)&gt;=2,1,0)</f>
        <v>0</v>
      </c>
      <c r="AE21" s="1" t="n">
        <f aca="false">IF(MIN(K21:Q21)&gt;=1,1,0)</f>
        <v>0</v>
      </c>
    </row>
    <row r="22" customFormat="false" ht="15" hidden="false" customHeight="true" outlineLevel="0" collapsed="false">
      <c r="A22" s="1" t="s">
        <v>381</v>
      </c>
      <c r="B22" s="1" t="s">
        <v>382</v>
      </c>
      <c r="C22" s="1" t="s">
        <v>383</v>
      </c>
      <c r="D22" s="1" t="s">
        <v>322</v>
      </c>
      <c r="E22" s="1" t="s">
        <v>123</v>
      </c>
      <c r="F22" s="1" t="s">
        <v>123</v>
      </c>
      <c r="G22" s="1" t="s">
        <v>104</v>
      </c>
      <c r="H22" s="1" t="s">
        <v>105</v>
      </c>
      <c r="I22" s="1" t="s">
        <v>384</v>
      </c>
      <c r="J22" s="1" t="s">
        <v>385</v>
      </c>
      <c r="K22" s="1" t="n">
        <v>2</v>
      </c>
      <c r="L22" s="1" t="n">
        <v>1</v>
      </c>
      <c r="M22" s="1" t="n">
        <v>2</v>
      </c>
      <c r="N22" s="1" t="n">
        <v>1</v>
      </c>
      <c r="O22" s="1" t="n">
        <v>1</v>
      </c>
      <c r="P22" s="1" t="n">
        <v>2</v>
      </c>
      <c r="Q22" s="1" t="n">
        <v>1</v>
      </c>
      <c r="R22" s="1" t="n">
        <f aca="false">SUM(K22:Q22)</f>
        <v>10</v>
      </c>
      <c r="S22" s="1" t="s">
        <v>386</v>
      </c>
      <c r="T22" s="1" t="s">
        <v>387</v>
      </c>
      <c r="U22" s="1" t="s">
        <v>388</v>
      </c>
      <c r="V22" s="1" t="s">
        <v>389</v>
      </c>
      <c r="W22" s="1" t="s">
        <v>377</v>
      </c>
      <c r="X22" s="1" t="s">
        <v>390</v>
      </c>
      <c r="Y22" s="1" t="s">
        <v>391</v>
      </c>
      <c r="Z22" s="1" t="s">
        <v>392</v>
      </c>
      <c r="AA22" s="1" t="s">
        <v>116</v>
      </c>
      <c r="AB22" s="1" t="s">
        <v>393</v>
      </c>
      <c r="AC22" s="1" t="s">
        <v>118</v>
      </c>
      <c r="AD22" s="1" t="n">
        <f aca="false">IF(MIN(K22:Q22)&gt;=2,1,0)</f>
        <v>0</v>
      </c>
      <c r="AE22" s="1" t="n">
        <f aca="false">IF(MIN(K22:Q22)&gt;=1,1,0)</f>
        <v>1</v>
      </c>
    </row>
    <row r="23" customFormat="false" ht="15" hidden="false" customHeight="true" outlineLevel="0" collapsed="false">
      <c r="A23" s="1" t="s">
        <v>394</v>
      </c>
      <c r="B23" s="1" t="s">
        <v>395</v>
      </c>
      <c r="C23" s="1" t="s">
        <v>396</v>
      </c>
      <c r="D23" s="1" t="s">
        <v>397</v>
      </c>
      <c r="E23" s="1" t="s">
        <v>123</v>
      </c>
      <c r="F23" s="1" t="s">
        <v>123</v>
      </c>
      <c r="G23" s="1" t="s">
        <v>104</v>
      </c>
      <c r="H23" s="1" t="s">
        <v>105</v>
      </c>
      <c r="I23" s="1" t="s">
        <v>398</v>
      </c>
      <c r="J23" s="1" t="s">
        <v>399</v>
      </c>
      <c r="K23" s="1" t="n">
        <v>1</v>
      </c>
      <c r="L23" s="1" t="n">
        <v>1</v>
      </c>
      <c r="M23" s="1" t="n">
        <v>1</v>
      </c>
      <c r="N23" s="1" t="n">
        <v>2</v>
      </c>
      <c r="O23" s="1" t="n">
        <v>1</v>
      </c>
      <c r="P23" s="1" t="n">
        <v>2</v>
      </c>
      <c r="Q23" s="1" t="n">
        <v>1</v>
      </c>
      <c r="R23" s="1" t="n">
        <f aca="false">SUM(K23:Q23)</f>
        <v>9</v>
      </c>
      <c r="S23" s="1" t="s">
        <v>400</v>
      </c>
      <c r="T23" s="1" t="s">
        <v>401</v>
      </c>
      <c r="U23" s="1" t="s">
        <v>402</v>
      </c>
      <c r="V23" s="1" t="s">
        <v>403</v>
      </c>
      <c r="W23" s="1" t="s">
        <v>404</v>
      </c>
      <c r="X23" s="1" t="s">
        <v>405</v>
      </c>
      <c r="Y23" s="1" t="s">
        <v>406</v>
      </c>
      <c r="Z23" s="1" t="s">
        <v>407</v>
      </c>
      <c r="AA23" s="1" t="s">
        <v>116</v>
      </c>
      <c r="AB23" s="1" t="s">
        <v>408</v>
      </c>
      <c r="AC23" s="1" t="s">
        <v>118</v>
      </c>
      <c r="AD23" s="1" t="n">
        <f aca="false">IF(MIN(K23:Q23)&gt;=2,1,0)</f>
        <v>0</v>
      </c>
      <c r="AE23" s="1" t="n">
        <f aca="false">IF(MIN(K23:Q23)&gt;=1,1,0)</f>
        <v>1</v>
      </c>
    </row>
    <row r="24" customFormat="false" ht="15" hidden="false" customHeight="true" outlineLevel="0" collapsed="false">
      <c r="A24" s="1" t="s">
        <v>409</v>
      </c>
      <c r="B24" s="1" t="s">
        <v>410</v>
      </c>
      <c r="C24" s="1" t="s">
        <v>411</v>
      </c>
      <c r="D24" s="1" t="s">
        <v>356</v>
      </c>
      <c r="E24" s="1" t="s">
        <v>139</v>
      </c>
      <c r="F24" s="1" t="s">
        <v>249</v>
      </c>
      <c r="G24" s="1" t="s">
        <v>104</v>
      </c>
      <c r="H24" s="1" t="s">
        <v>105</v>
      </c>
      <c r="I24" s="1" t="s">
        <v>412</v>
      </c>
      <c r="J24" s="1" t="s">
        <v>413</v>
      </c>
      <c r="K24" s="1" t="n">
        <v>2</v>
      </c>
      <c r="L24" s="1" t="n">
        <v>1</v>
      </c>
      <c r="M24" s="1" t="n">
        <v>1</v>
      </c>
      <c r="N24" s="1" t="n">
        <v>1</v>
      </c>
      <c r="O24" s="1" t="n">
        <v>3</v>
      </c>
      <c r="P24" s="1" t="n">
        <v>1</v>
      </c>
      <c r="Q24" s="1" t="n">
        <v>0</v>
      </c>
      <c r="R24" s="1" t="n">
        <f aca="false">SUM(K24:Q24)</f>
        <v>9</v>
      </c>
      <c r="S24" s="1" t="s">
        <v>414</v>
      </c>
      <c r="T24" s="1" t="s">
        <v>415</v>
      </c>
      <c r="U24" s="1" t="s">
        <v>416</v>
      </c>
      <c r="V24" s="1" t="s">
        <v>417</v>
      </c>
      <c r="W24" s="1" t="s">
        <v>418</v>
      </c>
      <c r="X24" s="1" t="s">
        <v>419</v>
      </c>
      <c r="Y24" s="1" t="s">
        <v>164</v>
      </c>
      <c r="Z24" s="1" t="s">
        <v>420</v>
      </c>
      <c r="AA24" s="1" t="s">
        <v>116</v>
      </c>
      <c r="AB24" s="1" t="s">
        <v>421</v>
      </c>
      <c r="AC24" s="1" t="s">
        <v>118</v>
      </c>
      <c r="AD24" s="1" t="n">
        <f aca="false">IF(MIN(K24:Q24)&gt;=2,1,0)</f>
        <v>0</v>
      </c>
      <c r="AE24" s="1" t="n">
        <f aca="false">IF(MIN(K24:Q24)&gt;=1,1,0)</f>
        <v>0</v>
      </c>
    </row>
    <row r="25" customFormat="false" ht="15" hidden="false" customHeight="true" outlineLevel="0" collapsed="false">
      <c r="A25" s="1" t="s">
        <v>422</v>
      </c>
      <c r="B25" s="1" t="s">
        <v>423</v>
      </c>
      <c r="C25" s="1" t="s">
        <v>424</v>
      </c>
      <c r="D25" s="1" t="s">
        <v>356</v>
      </c>
      <c r="E25" s="1" t="s">
        <v>123</v>
      </c>
      <c r="F25" s="1" t="s">
        <v>123</v>
      </c>
      <c r="G25" s="1" t="s">
        <v>104</v>
      </c>
      <c r="H25" s="1" t="s">
        <v>105</v>
      </c>
      <c r="I25" s="1" t="s">
        <v>425</v>
      </c>
      <c r="J25" s="1" t="s">
        <v>426</v>
      </c>
      <c r="K25" s="1" t="n">
        <v>1</v>
      </c>
      <c r="L25" s="1" t="n">
        <v>1</v>
      </c>
      <c r="M25" s="1" t="n">
        <v>2</v>
      </c>
      <c r="N25" s="1" t="n">
        <v>1</v>
      </c>
      <c r="O25" s="1" t="n">
        <v>2</v>
      </c>
      <c r="P25" s="1" t="n">
        <v>1</v>
      </c>
      <c r="Q25" s="1" t="n">
        <v>0</v>
      </c>
      <c r="R25" s="1" t="n">
        <f aca="false">SUM(K25:Q25)</f>
        <v>8</v>
      </c>
      <c r="S25" s="1" t="s">
        <v>427</v>
      </c>
      <c r="T25" s="1" t="s">
        <v>428</v>
      </c>
      <c r="U25" s="1" t="s">
        <v>429</v>
      </c>
      <c r="V25" s="1" t="s">
        <v>430</v>
      </c>
      <c r="W25" s="1" t="s">
        <v>431</v>
      </c>
      <c r="X25" s="1" t="s">
        <v>432</v>
      </c>
      <c r="Y25" s="1" t="s">
        <v>164</v>
      </c>
      <c r="Z25" s="1" t="s">
        <v>433</v>
      </c>
      <c r="AA25" s="1" t="s">
        <v>116</v>
      </c>
      <c r="AB25" s="1" t="s">
        <v>434</v>
      </c>
      <c r="AC25" s="1" t="s">
        <v>118</v>
      </c>
      <c r="AD25" s="1" t="n">
        <f aca="false">IF(MIN(K25:Q25)&gt;=2,1,0)</f>
        <v>0</v>
      </c>
      <c r="AE25" s="1" t="n">
        <f aca="false">IF(MIN(K25:Q25)&gt;=1,1,0)</f>
        <v>0</v>
      </c>
    </row>
    <row r="26" customFormat="false" ht="15" hidden="false" customHeight="true" outlineLevel="0" collapsed="false">
      <c r="A26" s="1" t="s">
        <v>435</v>
      </c>
      <c r="B26" s="1" t="s">
        <v>436</v>
      </c>
      <c r="C26" s="1" t="s">
        <v>437</v>
      </c>
      <c r="D26" s="1" t="s">
        <v>438</v>
      </c>
      <c r="E26" s="1" t="s">
        <v>123</v>
      </c>
      <c r="F26" s="1" t="s">
        <v>249</v>
      </c>
      <c r="G26" s="1" t="s">
        <v>104</v>
      </c>
      <c r="H26" s="1" t="s">
        <v>105</v>
      </c>
      <c r="I26" s="1" t="s">
        <v>439</v>
      </c>
      <c r="J26" s="1" t="s">
        <v>440</v>
      </c>
      <c r="K26" s="1" t="n">
        <v>2</v>
      </c>
      <c r="L26" s="1" t="n">
        <v>2</v>
      </c>
      <c r="M26" s="1" t="n">
        <v>1</v>
      </c>
      <c r="N26" s="1" t="n">
        <v>2</v>
      </c>
      <c r="O26" s="1" t="n">
        <v>3</v>
      </c>
      <c r="P26" s="1" t="n">
        <v>2</v>
      </c>
      <c r="Q26" s="1" t="n">
        <v>0</v>
      </c>
      <c r="R26" s="1" t="n">
        <f aca="false">SUM(K26:Q26)</f>
        <v>12</v>
      </c>
      <c r="S26" s="1" t="s">
        <v>441</v>
      </c>
      <c r="T26" s="1" t="s">
        <v>442</v>
      </c>
      <c r="U26" s="1" t="s">
        <v>443</v>
      </c>
      <c r="V26" s="1" t="s">
        <v>444</v>
      </c>
      <c r="W26" s="1" t="s">
        <v>445</v>
      </c>
      <c r="X26" s="1" t="s">
        <v>446</v>
      </c>
      <c r="Y26" s="1" t="s">
        <v>447</v>
      </c>
      <c r="Z26" s="1" t="s">
        <v>448</v>
      </c>
      <c r="AA26" s="1" t="s">
        <v>116</v>
      </c>
      <c r="AB26" s="1" t="s">
        <v>449</v>
      </c>
      <c r="AC26" s="1" t="s">
        <v>118</v>
      </c>
      <c r="AD26" s="1" t="n">
        <f aca="false">IF(MIN(K26:Q26)&gt;=2,1,0)</f>
        <v>0</v>
      </c>
      <c r="AE26" s="1" t="n">
        <f aca="false">IF(MIN(K26:Q26)&gt;=1,1,0)</f>
        <v>0</v>
      </c>
    </row>
    <row r="27" customFormat="false" ht="15" hidden="false" customHeight="true" outlineLevel="0" collapsed="false">
      <c r="A27" s="1" t="s">
        <v>450</v>
      </c>
      <c r="B27" s="1" t="s">
        <v>451</v>
      </c>
      <c r="C27" s="1" t="s">
        <v>452</v>
      </c>
      <c r="D27" s="1" t="s">
        <v>288</v>
      </c>
      <c r="E27" s="1" t="s">
        <v>123</v>
      </c>
      <c r="F27" s="1" t="s">
        <v>123</v>
      </c>
      <c r="G27" s="1" t="s">
        <v>104</v>
      </c>
      <c r="H27" s="1" t="s">
        <v>453</v>
      </c>
      <c r="I27" s="1" t="s">
        <v>454</v>
      </c>
      <c r="J27" s="1" t="s">
        <v>455</v>
      </c>
      <c r="K27" s="1" t="n">
        <v>2</v>
      </c>
      <c r="L27" s="1" t="n">
        <v>2</v>
      </c>
      <c r="M27" s="1" t="n">
        <v>1</v>
      </c>
      <c r="N27" s="1" t="n">
        <v>1</v>
      </c>
      <c r="O27" s="1" t="n">
        <v>2</v>
      </c>
      <c r="P27" s="1" t="n">
        <v>2</v>
      </c>
      <c r="Q27" s="1" t="n">
        <v>0</v>
      </c>
      <c r="R27" s="1" t="n">
        <f aca="false">SUM(K27:Q27)</f>
        <v>10</v>
      </c>
      <c r="S27" s="1" t="s">
        <v>456</v>
      </c>
      <c r="T27" s="1" t="s">
        <v>457</v>
      </c>
      <c r="U27" s="1" t="s">
        <v>278</v>
      </c>
      <c r="V27" s="1" t="s">
        <v>458</v>
      </c>
      <c r="W27" s="1" t="s">
        <v>459</v>
      </c>
      <c r="X27" s="1" t="s">
        <v>460</v>
      </c>
      <c r="Y27" s="1" t="s">
        <v>164</v>
      </c>
      <c r="Z27" s="1" t="s">
        <v>461</v>
      </c>
      <c r="AA27" s="1" t="s">
        <v>116</v>
      </c>
      <c r="AB27" s="1" t="s">
        <v>462</v>
      </c>
      <c r="AC27" s="1" t="s">
        <v>118</v>
      </c>
      <c r="AD27" s="1" t="n">
        <f aca="false">IF(MIN(K27:Q27)&gt;=2,1,0)</f>
        <v>0</v>
      </c>
      <c r="AE27" s="1" t="n">
        <f aca="false">IF(MIN(K27:Q27)&gt;=1,1,0)</f>
        <v>0</v>
      </c>
    </row>
    <row r="28" customFormat="false" ht="15" hidden="false" customHeight="true" outlineLevel="0" collapsed="false">
      <c r="A28" s="1" t="s">
        <v>463</v>
      </c>
      <c r="B28" s="1" t="s">
        <v>464</v>
      </c>
      <c r="C28" s="1" t="s">
        <v>465</v>
      </c>
      <c r="D28" s="1" t="s">
        <v>300</v>
      </c>
      <c r="E28" s="1" t="s">
        <v>123</v>
      </c>
      <c r="F28" s="1" t="s">
        <v>123</v>
      </c>
      <c r="G28" s="1" t="s">
        <v>104</v>
      </c>
      <c r="H28" s="1" t="s">
        <v>453</v>
      </c>
      <c r="I28" s="1" t="s">
        <v>466</v>
      </c>
      <c r="J28" s="1" t="s">
        <v>467</v>
      </c>
      <c r="K28" s="1" t="n">
        <v>1</v>
      </c>
      <c r="L28" s="1" t="n">
        <v>1</v>
      </c>
      <c r="M28" s="1" t="n">
        <v>3</v>
      </c>
      <c r="N28" s="1" t="n">
        <v>2</v>
      </c>
      <c r="O28" s="1" t="n">
        <v>1</v>
      </c>
      <c r="P28" s="1" t="n">
        <v>1</v>
      </c>
      <c r="Q28" s="1" t="n">
        <v>0</v>
      </c>
      <c r="R28" s="1" t="n">
        <f aca="false">SUM(K28:Q28)</f>
        <v>9</v>
      </c>
      <c r="S28" s="1" t="s">
        <v>468</v>
      </c>
      <c r="T28" s="1" t="s">
        <v>469</v>
      </c>
      <c r="U28" s="1" t="s">
        <v>470</v>
      </c>
      <c r="V28" s="1" t="s">
        <v>471</v>
      </c>
      <c r="W28" s="1" t="s">
        <v>377</v>
      </c>
      <c r="X28" s="1" t="s">
        <v>472</v>
      </c>
      <c r="Y28" s="1" t="s">
        <v>164</v>
      </c>
      <c r="Z28" s="1" t="s">
        <v>473</v>
      </c>
      <c r="AA28" s="1" t="s">
        <v>116</v>
      </c>
      <c r="AB28" s="1" t="s">
        <v>474</v>
      </c>
      <c r="AC28" s="1" t="s">
        <v>118</v>
      </c>
      <c r="AD28" s="1" t="n">
        <f aca="false">IF(MIN(K28:Q28)&gt;=2,1,0)</f>
        <v>0</v>
      </c>
      <c r="AE28" s="1" t="n">
        <f aca="false">IF(MIN(K28:Q28)&gt;=1,1,0)</f>
        <v>0</v>
      </c>
    </row>
    <row r="29" customFormat="false" ht="15" hidden="false" customHeight="true" outlineLevel="0" collapsed="false">
      <c r="A29" s="1" t="s">
        <v>475</v>
      </c>
      <c r="B29" s="1" t="s">
        <v>476</v>
      </c>
      <c r="C29" s="1" t="s">
        <v>477</v>
      </c>
      <c r="D29" s="1" t="s">
        <v>199</v>
      </c>
      <c r="E29" s="1" t="s">
        <v>123</v>
      </c>
      <c r="F29" s="1" t="s">
        <v>123</v>
      </c>
      <c r="G29" s="1" t="s">
        <v>104</v>
      </c>
      <c r="H29" s="1" t="s">
        <v>105</v>
      </c>
      <c r="I29" s="1" t="s">
        <v>478</v>
      </c>
      <c r="J29" s="1" t="s">
        <v>479</v>
      </c>
      <c r="K29" s="1" t="n">
        <v>1</v>
      </c>
      <c r="L29" s="1" t="n">
        <v>0</v>
      </c>
      <c r="M29" s="1" t="n">
        <v>3</v>
      </c>
      <c r="N29" s="1" t="n">
        <v>2</v>
      </c>
      <c r="O29" s="1" t="n">
        <v>1</v>
      </c>
      <c r="P29" s="1" t="n">
        <v>0</v>
      </c>
      <c r="Q29" s="1" t="n">
        <v>0</v>
      </c>
      <c r="R29" s="1" t="n">
        <f aca="false">SUM(K29:Q29)</f>
        <v>7</v>
      </c>
      <c r="S29" s="1" t="s">
        <v>480</v>
      </c>
      <c r="T29" s="1" t="s">
        <v>264</v>
      </c>
      <c r="U29" s="1" t="s">
        <v>481</v>
      </c>
      <c r="V29" s="1" t="s">
        <v>482</v>
      </c>
      <c r="W29" s="1" t="s">
        <v>483</v>
      </c>
      <c r="X29" s="1" t="s">
        <v>268</v>
      </c>
      <c r="Y29" s="1" t="s">
        <v>164</v>
      </c>
      <c r="Z29" s="1" t="s">
        <v>484</v>
      </c>
      <c r="AA29" s="1" t="s">
        <v>116</v>
      </c>
      <c r="AB29" s="1" t="s">
        <v>485</v>
      </c>
      <c r="AC29" s="1" t="s">
        <v>118</v>
      </c>
      <c r="AD29" s="1" t="n">
        <f aca="false">IF(MIN(K29:Q29)&gt;=2,1,0)</f>
        <v>0</v>
      </c>
      <c r="AE29" s="1" t="n">
        <f aca="false">IF(MIN(K29:Q29)&gt;=1,1,0)</f>
        <v>0</v>
      </c>
    </row>
    <row r="30" customFormat="false" ht="15" hidden="false" customHeight="true" outlineLevel="0" collapsed="false">
      <c r="A30" s="1" t="s">
        <v>486</v>
      </c>
      <c r="B30" s="1" t="s">
        <v>487</v>
      </c>
      <c r="C30" s="1" t="s">
        <v>488</v>
      </c>
      <c r="D30" s="1" t="s">
        <v>438</v>
      </c>
      <c r="E30" s="1" t="s">
        <v>123</v>
      </c>
      <c r="F30" s="1" t="s">
        <v>123</v>
      </c>
      <c r="G30" s="1" t="s">
        <v>104</v>
      </c>
      <c r="H30" s="1" t="s">
        <v>105</v>
      </c>
      <c r="I30" s="1" t="s">
        <v>489</v>
      </c>
      <c r="J30" s="1" t="s">
        <v>490</v>
      </c>
      <c r="K30" s="1" t="n">
        <v>1</v>
      </c>
      <c r="L30" s="1" t="n">
        <v>1</v>
      </c>
      <c r="M30" s="1" t="n">
        <v>2</v>
      </c>
      <c r="N30" s="1" t="n">
        <v>2</v>
      </c>
      <c r="O30" s="1" t="n">
        <v>2</v>
      </c>
      <c r="P30" s="1" t="n">
        <v>1</v>
      </c>
      <c r="Q30" s="1" t="n">
        <v>1</v>
      </c>
      <c r="R30" s="1" t="n">
        <f aca="false">SUM(K30:Q30)</f>
        <v>10</v>
      </c>
      <c r="S30" s="1" t="s">
        <v>491</v>
      </c>
      <c r="T30" s="1" t="s">
        <v>492</v>
      </c>
      <c r="U30" s="1" t="s">
        <v>493</v>
      </c>
      <c r="V30" s="1" t="s">
        <v>494</v>
      </c>
      <c r="W30" s="1" t="s">
        <v>495</v>
      </c>
      <c r="X30" s="1" t="s">
        <v>496</v>
      </c>
      <c r="Y30" s="1" t="s">
        <v>497</v>
      </c>
      <c r="Z30" s="1" t="s">
        <v>498</v>
      </c>
      <c r="AA30" s="1" t="s">
        <v>116</v>
      </c>
      <c r="AB30" s="1" t="s">
        <v>499</v>
      </c>
      <c r="AC30" s="1" t="s">
        <v>118</v>
      </c>
      <c r="AD30" s="1" t="n">
        <f aca="false">IF(MIN(K30:Q30)&gt;=2,1,0)</f>
        <v>0</v>
      </c>
      <c r="AE30" s="1" t="n">
        <f aca="false">IF(MIN(K30:Q30)&gt;=1,1,0)</f>
        <v>1</v>
      </c>
    </row>
    <row r="31" customFormat="false" ht="15" hidden="false" customHeight="true" outlineLevel="0" collapsed="false">
      <c r="A31" s="1" t="s">
        <v>500</v>
      </c>
      <c r="B31" s="1" t="s">
        <v>501</v>
      </c>
      <c r="C31" s="1" t="s">
        <v>502</v>
      </c>
      <c r="D31" s="1" t="s">
        <v>503</v>
      </c>
      <c r="E31" s="1" t="s">
        <v>123</v>
      </c>
      <c r="F31" s="1" t="s">
        <v>249</v>
      </c>
      <c r="G31" s="1" t="s">
        <v>104</v>
      </c>
      <c r="H31" s="1" t="s">
        <v>105</v>
      </c>
      <c r="I31" s="1" t="s">
        <v>202</v>
      </c>
      <c r="J31" s="1" t="s">
        <v>504</v>
      </c>
      <c r="K31" s="1" t="n">
        <v>2</v>
      </c>
      <c r="L31" s="1" t="n">
        <v>1</v>
      </c>
      <c r="M31" s="1" t="n">
        <v>3</v>
      </c>
      <c r="N31" s="1" t="n">
        <v>2</v>
      </c>
      <c r="O31" s="1" t="n">
        <v>2</v>
      </c>
      <c r="P31" s="1" t="n">
        <v>1</v>
      </c>
      <c r="Q31" s="1" t="n">
        <v>0</v>
      </c>
      <c r="R31" s="1" t="n">
        <f aca="false">SUM(K31:Q31)</f>
        <v>11</v>
      </c>
      <c r="S31" s="1" t="s">
        <v>505</v>
      </c>
      <c r="T31" s="1" t="s">
        <v>506</v>
      </c>
      <c r="U31" s="1" t="s">
        <v>507</v>
      </c>
      <c r="V31" s="1" t="s">
        <v>508</v>
      </c>
      <c r="W31" s="1" t="s">
        <v>509</v>
      </c>
      <c r="X31" s="1" t="s">
        <v>510</v>
      </c>
      <c r="Y31" s="1" t="s">
        <v>164</v>
      </c>
      <c r="Z31" s="1" t="s">
        <v>511</v>
      </c>
      <c r="AA31" s="1" t="s">
        <v>116</v>
      </c>
      <c r="AB31" s="1" t="s">
        <v>512</v>
      </c>
      <c r="AC31" s="1" t="s">
        <v>118</v>
      </c>
      <c r="AD31" s="1" t="n">
        <f aca="false">IF(MIN(K31:Q31)&gt;=2,1,0)</f>
        <v>0</v>
      </c>
      <c r="AE31" s="1" t="n">
        <f aca="false">IF(MIN(K31:Q31)&gt;=1,1,0)</f>
        <v>0</v>
      </c>
    </row>
    <row r="32" customFormat="false" ht="15" hidden="false" customHeight="true" outlineLevel="0" collapsed="false">
      <c r="A32" s="1" t="s">
        <v>513</v>
      </c>
      <c r="B32" s="1" t="s">
        <v>514</v>
      </c>
      <c r="C32" s="1" t="s">
        <v>515</v>
      </c>
      <c r="D32" s="1" t="s">
        <v>516</v>
      </c>
      <c r="E32" s="1" t="s">
        <v>123</v>
      </c>
      <c r="F32" s="1" t="s">
        <v>123</v>
      </c>
      <c r="G32" s="1" t="s">
        <v>104</v>
      </c>
      <c r="H32" s="1" t="s">
        <v>105</v>
      </c>
      <c r="I32" s="1" t="s">
        <v>202</v>
      </c>
      <c r="J32" s="1" t="s">
        <v>517</v>
      </c>
      <c r="K32" s="1" t="n">
        <v>1</v>
      </c>
      <c r="L32" s="1" t="n">
        <v>1</v>
      </c>
      <c r="M32" s="1" t="n">
        <v>3</v>
      </c>
      <c r="N32" s="1" t="n">
        <v>2</v>
      </c>
      <c r="O32" s="1" t="n">
        <v>2</v>
      </c>
      <c r="P32" s="1" t="n">
        <v>1</v>
      </c>
      <c r="Q32" s="1" t="n">
        <v>0</v>
      </c>
      <c r="R32" s="1" t="n">
        <f aca="false">SUM(K32:Q32)</f>
        <v>10</v>
      </c>
      <c r="S32" s="1" t="s">
        <v>518</v>
      </c>
      <c r="T32" s="1" t="s">
        <v>519</v>
      </c>
      <c r="U32" s="1" t="s">
        <v>520</v>
      </c>
      <c r="V32" s="1" t="s">
        <v>521</v>
      </c>
      <c r="W32" s="1" t="s">
        <v>522</v>
      </c>
      <c r="X32" s="1" t="s">
        <v>523</v>
      </c>
      <c r="Y32" s="1" t="s">
        <v>164</v>
      </c>
      <c r="Z32" s="1" t="s">
        <v>524</v>
      </c>
      <c r="AA32" s="1" t="s">
        <v>116</v>
      </c>
      <c r="AB32" s="1" t="s">
        <v>525</v>
      </c>
      <c r="AC32" s="1" t="s">
        <v>118</v>
      </c>
      <c r="AD32" s="1" t="n">
        <f aca="false">IF(MIN(K32:Q32)&gt;=2,1,0)</f>
        <v>0</v>
      </c>
      <c r="AE32" s="1" t="n">
        <f aca="false">IF(MIN(K32:Q32)&gt;=1,1,0)</f>
        <v>0</v>
      </c>
    </row>
    <row r="33" customFormat="false" ht="15" hidden="false" customHeight="true" outlineLevel="0" collapsed="false">
      <c r="A33" s="1" t="s">
        <v>526</v>
      </c>
      <c r="B33" s="1" t="s">
        <v>527</v>
      </c>
      <c r="C33" s="1" t="s">
        <v>528</v>
      </c>
      <c r="D33" s="1" t="s">
        <v>529</v>
      </c>
      <c r="E33" s="1" t="s">
        <v>155</v>
      </c>
      <c r="F33" s="1" t="s">
        <v>155</v>
      </c>
      <c r="G33" s="1" t="s">
        <v>104</v>
      </c>
      <c r="H33" s="1" t="s">
        <v>530</v>
      </c>
      <c r="I33" s="1" t="s">
        <v>478</v>
      </c>
      <c r="J33" s="1" t="s">
        <v>531</v>
      </c>
      <c r="K33" s="1" t="n">
        <v>2</v>
      </c>
      <c r="L33" s="1" t="n">
        <v>1</v>
      </c>
      <c r="M33" s="1" t="n">
        <v>3</v>
      </c>
      <c r="N33" s="1" t="n">
        <v>2</v>
      </c>
      <c r="O33" s="1" t="n">
        <v>2</v>
      </c>
      <c r="P33" s="1" t="n">
        <v>2</v>
      </c>
      <c r="Q33" s="1" t="n">
        <v>1</v>
      </c>
      <c r="R33" s="1" t="n">
        <f aca="false">SUM(K33:Q33)</f>
        <v>13</v>
      </c>
      <c r="S33" s="1" t="s">
        <v>532</v>
      </c>
      <c r="T33" s="1" t="s">
        <v>359</v>
      </c>
      <c r="U33" s="1" t="s">
        <v>533</v>
      </c>
      <c r="V33" s="1" t="s">
        <v>494</v>
      </c>
      <c r="W33" s="1" t="s">
        <v>534</v>
      </c>
      <c r="X33" s="1" t="s">
        <v>535</v>
      </c>
      <c r="Y33" s="1" t="s">
        <v>536</v>
      </c>
      <c r="Z33" s="1" t="s">
        <v>537</v>
      </c>
      <c r="AA33" s="1" t="s">
        <v>116</v>
      </c>
      <c r="AB33" s="1" t="s">
        <v>538</v>
      </c>
      <c r="AC33" s="1" t="s">
        <v>118</v>
      </c>
      <c r="AD33" s="1" t="n">
        <f aca="false">IF(MIN(K33:Q33)&gt;=2,1,0)</f>
        <v>0</v>
      </c>
      <c r="AE33" s="1" t="n">
        <f aca="false">IF(MIN(K33:Q33)&gt;=1,1,0)</f>
        <v>1</v>
      </c>
    </row>
    <row r="34" customFormat="false" ht="15" hidden="false" customHeight="true" outlineLevel="0" collapsed="false">
      <c r="A34" s="1" t="s">
        <v>539</v>
      </c>
      <c r="B34" s="1" t="s">
        <v>540</v>
      </c>
      <c r="C34" s="1" t="s">
        <v>541</v>
      </c>
      <c r="D34" s="1" t="s">
        <v>542</v>
      </c>
      <c r="E34" s="1" t="s">
        <v>123</v>
      </c>
      <c r="F34" s="1" t="s">
        <v>123</v>
      </c>
      <c r="G34" s="1" t="s">
        <v>104</v>
      </c>
      <c r="H34" s="1" t="s">
        <v>543</v>
      </c>
      <c r="I34" s="1" t="s">
        <v>478</v>
      </c>
      <c r="J34" s="1" t="s">
        <v>544</v>
      </c>
      <c r="K34" s="1" t="n">
        <v>1</v>
      </c>
      <c r="L34" s="1" t="n">
        <v>1</v>
      </c>
      <c r="M34" s="1" t="n">
        <v>3</v>
      </c>
      <c r="N34" s="1" t="n">
        <v>1</v>
      </c>
      <c r="O34" s="1" t="n">
        <v>1</v>
      </c>
      <c r="P34" s="1" t="n">
        <v>2</v>
      </c>
      <c r="Q34" s="1" t="n">
        <v>1</v>
      </c>
      <c r="R34" s="1" t="n">
        <f aca="false">SUM(K34:Q34)</f>
        <v>10</v>
      </c>
      <c r="S34" s="1" t="s">
        <v>545</v>
      </c>
      <c r="T34" s="1" t="s">
        <v>387</v>
      </c>
      <c r="U34" s="1" t="s">
        <v>546</v>
      </c>
      <c r="V34" s="1" t="s">
        <v>547</v>
      </c>
      <c r="W34" s="1" t="s">
        <v>548</v>
      </c>
      <c r="X34" s="1" t="s">
        <v>549</v>
      </c>
      <c r="Y34" s="1" t="s">
        <v>550</v>
      </c>
      <c r="Z34" s="1" t="s">
        <v>551</v>
      </c>
      <c r="AA34" s="1" t="s">
        <v>116</v>
      </c>
      <c r="AB34" s="1" t="s">
        <v>552</v>
      </c>
      <c r="AC34" s="1" t="s">
        <v>118</v>
      </c>
      <c r="AD34" s="1" t="n">
        <f aca="false">IF(MIN(K34:Q34)&gt;=2,1,0)</f>
        <v>0</v>
      </c>
      <c r="AE34" s="1" t="n">
        <f aca="false">IF(MIN(K34:Q34)&gt;=1,1,0)</f>
        <v>1</v>
      </c>
    </row>
    <row r="35" customFormat="false" ht="15" hidden="false" customHeight="true" outlineLevel="0" collapsed="false">
      <c r="A35" s="1" t="s">
        <v>553</v>
      </c>
      <c r="B35" s="1" t="s">
        <v>554</v>
      </c>
      <c r="C35" s="1" t="s">
        <v>555</v>
      </c>
      <c r="D35" s="1" t="s">
        <v>556</v>
      </c>
      <c r="E35" s="1" t="s">
        <v>123</v>
      </c>
      <c r="F35" s="1" t="s">
        <v>123</v>
      </c>
      <c r="G35" s="1" t="s">
        <v>104</v>
      </c>
      <c r="H35" s="1" t="s">
        <v>105</v>
      </c>
      <c r="I35" s="1" t="s">
        <v>557</v>
      </c>
      <c r="J35" s="1" t="s">
        <v>558</v>
      </c>
      <c r="K35" s="1" t="n">
        <v>1</v>
      </c>
      <c r="L35" s="1" t="n">
        <v>0</v>
      </c>
      <c r="M35" s="1" t="n">
        <v>1</v>
      </c>
      <c r="N35" s="1" t="n">
        <v>1</v>
      </c>
      <c r="O35" s="1" t="n">
        <v>1</v>
      </c>
      <c r="P35" s="1" t="n">
        <v>1</v>
      </c>
      <c r="Q35" s="1" t="n">
        <v>2</v>
      </c>
      <c r="R35" s="1" t="n">
        <f aca="false">SUM(K35:Q35)</f>
        <v>7</v>
      </c>
      <c r="S35" s="1" t="s">
        <v>559</v>
      </c>
      <c r="T35" s="1" t="s">
        <v>264</v>
      </c>
      <c r="U35" s="1" t="s">
        <v>560</v>
      </c>
      <c r="V35" s="1" t="s">
        <v>561</v>
      </c>
      <c r="W35" s="1" t="s">
        <v>562</v>
      </c>
      <c r="X35" s="1" t="s">
        <v>563</v>
      </c>
      <c r="Y35" s="1" t="s">
        <v>564</v>
      </c>
      <c r="Z35" s="1" t="s">
        <v>565</v>
      </c>
      <c r="AA35" s="1" t="s">
        <v>116</v>
      </c>
      <c r="AB35" s="1" t="s">
        <v>566</v>
      </c>
      <c r="AC35" s="1" t="s">
        <v>118</v>
      </c>
      <c r="AD35" s="1" t="n">
        <f aca="false">IF(MIN(K35:Q35)&gt;=2,1,0)</f>
        <v>0</v>
      </c>
      <c r="AE35" s="1" t="n">
        <f aca="false">IF(MIN(K35:Q35)&gt;=1,1,0)</f>
        <v>0</v>
      </c>
    </row>
    <row r="36" customFormat="false" ht="15" hidden="false" customHeight="true" outlineLevel="0" collapsed="false">
      <c r="A36" s="1" t="s">
        <v>567</v>
      </c>
      <c r="B36" s="1" t="s">
        <v>568</v>
      </c>
      <c r="C36" s="1" t="s">
        <v>569</v>
      </c>
      <c r="D36" s="1" t="s">
        <v>322</v>
      </c>
      <c r="E36" s="1" t="s">
        <v>123</v>
      </c>
      <c r="F36" s="1" t="s">
        <v>123</v>
      </c>
      <c r="G36" s="1" t="s">
        <v>104</v>
      </c>
      <c r="H36" s="1" t="s">
        <v>105</v>
      </c>
      <c r="I36" s="1" t="s">
        <v>557</v>
      </c>
      <c r="J36" s="1" t="s">
        <v>570</v>
      </c>
      <c r="K36" s="1" t="n">
        <v>1</v>
      </c>
      <c r="L36" s="1" t="n">
        <v>1</v>
      </c>
      <c r="M36" s="1" t="n">
        <v>1</v>
      </c>
      <c r="N36" s="1" t="n">
        <v>1</v>
      </c>
      <c r="O36" s="1" t="n">
        <v>1</v>
      </c>
      <c r="P36" s="1" t="n">
        <v>1</v>
      </c>
      <c r="Q36" s="1" t="n">
        <v>2</v>
      </c>
      <c r="R36" s="1" t="n">
        <f aca="false">SUM(K36:Q36)</f>
        <v>8</v>
      </c>
      <c r="S36" s="1" t="s">
        <v>571</v>
      </c>
      <c r="T36" s="1" t="s">
        <v>572</v>
      </c>
      <c r="U36" s="1" t="s">
        <v>560</v>
      </c>
      <c r="V36" s="1" t="s">
        <v>573</v>
      </c>
      <c r="W36" s="1" t="s">
        <v>377</v>
      </c>
      <c r="X36" s="1" t="s">
        <v>574</v>
      </c>
      <c r="Y36" s="1" t="s">
        <v>575</v>
      </c>
      <c r="Z36" s="1" t="s">
        <v>576</v>
      </c>
      <c r="AA36" s="1" t="s">
        <v>116</v>
      </c>
      <c r="AB36" s="1" t="s">
        <v>577</v>
      </c>
      <c r="AC36" s="1" t="s">
        <v>118</v>
      </c>
      <c r="AD36" s="1" t="n">
        <f aca="false">IF(MIN(K36:Q36)&gt;=2,1,0)</f>
        <v>0</v>
      </c>
      <c r="AE36" s="1" t="n">
        <f aca="false">IF(MIN(K36:Q36)&gt;=1,1,0)</f>
        <v>1</v>
      </c>
    </row>
    <row r="37" customFormat="false" ht="15" hidden="false" customHeight="true" outlineLevel="0" collapsed="false">
      <c r="A37" s="1" t="s">
        <v>578</v>
      </c>
      <c r="B37" s="1" t="s">
        <v>579</v>
      </c>
      <c r="C37" s="1" t="s">
        <v>580</v>
      </c>
      <c r="D37" s="1" t="s">
        <v>274</v>
      </c>
      <c r="E37" s="1" t="s">
        <v>139</v>
      </c>
      <c r="F37" s="1" t="s">
        <v>139</v>
      </c>
      <c r="G37" s="1" t="s">
        <v>104</v>
      </c>
      <c r="H37" s="1" t="s">
        <v>105</v>
      </c>
      <c r="I37" s="1" t="s">
        <v>140</v>
      </c>
      <c r="J37" s="1" t="s">
        <v>581</v>
      </c>
      <c r="K37" s="1" t="n">
        <v>0</v>
      </c>
      <c r="L37" s="1" t="n">
        <v>0</v>
      </c>
      <c r="M37" s="1" t="n">
        <v>3</v>
      </c>
      <c r="N37" s="1" t="n">
        <v>2</v>
      </c>
      <c r="O37" s="1" t="n">
        <v>0</v>
      </c>
      <c r="P37" s="1" t="n">
        <v>0</v>
      </c>
      <c r="Q37" s="1" t="n">
        <v>0</v>
      </c>
      <c r="R37" s="1" t="n">
        <f aca="false">SUM(K37:Q37)</f>
        <v>5</v>
      </c>
      <c r="S37" s="1" t="s">
        <v>313</v>
      </c>
      <c r="T37" s="1" t="s">
        <v>264</v>
      </c>
      <c r="U37" s="1" t="s">
        <v>582</v>
      </c>
      <c r="V37" s="1" t="s">
        <v>583</v>
      </c>
      <c r="W37" s="1" t="s">
        <v>584</v>
      </c>
      <c r="X37" s="1" t="s">
        <v>316</v>
      </c>
      <c r="Y37" s="1" t="s">
        <v>164</v>
      </c>
      <c r="Z37" s="1" t="s">
        <v>585</v>
      </c>
      <c r="AA37" s="1" t="s">
        <v>116</v>
      </c>
      <c r="AB37" s="1" t="s">
        <v>586</v>
      </c>
      <c r="AC37" s="1" t="s">
        <v>118</v>
      </c>
      <c r="AD37" s="1" t="n">
        <f aca="false">IF(MIN(K37:Q37)&gt;=2,1,0)</f>
        <v>0</v>
      </c>
      <c r="AE37" s="1" t="n">
        <f aca="false">IF(MIN(K37:Q37)&gt;=1,1,0)</f>
        <v>0</v>
      </c>
    </row>
    <row r="38" customFormat="false" ht="15" hidden="false" customHeight="true" outlineLevel="0" collapsed="false">
      <c r="A38" s="1" t="s">
        <v>587</v>
      </c>
      <c r="B38" s="1" t="s">
        <v>588</v>
      </c>
      <c r="C38" s="1" t="s">
        <v>589</v>
      </c>
      <c r="D38" s="1" t="s">
        <v>370</v>
      </c>
      <c r="E38" s="1" t="s">
        <v>139</v>
      </c>
      <c r="F38" s="1" t="s">
        <v>139</v>
      </c>
      <c r="G38" s="1" t="s">
        <v>104</v>
      </c>
      <c r="H38" s="1" t="s">
        <v>105</v>
      </c>
      <c r="I38" s="1" t="s">
        <v>590</v>
      </c>
      <c r="J38" s="1" t="s">
        <v>591</v>
      </c>
      <c r="K38" s="1" t="n">
        <v>1</v>
      </c>
      <c r="L38" s="1" t="n">
        <v>0</v>
      </c>
      <c r="M38" s="1" t="n">
        <v>3</v>
      </c>
      <c r="N38" s="1" t="n">
        <v>2</v>
      </c>
      <c r="O38" s="1" t="n">
        <v>1</v>
      </c>
      <c r="P38" s="1" t="n">
        <v>0</v>
      </c>
      <c r="Q38" s="1" t="n">
        <v>0</v>
      </c>
      <c r="R38" s="1" t="n">
        <f aca="false">SUM(K38:Q38)</f>
        <v>7</v>
      </c>
      <c r="S38" s="1" t="s">
        <v>592</v>
      </c>
      <c r="T38" s="1" t="s">
        <v>264</v>
      </c>
      <c r="U38" s="1" t="s">
        <v>593</v>
      </c>
      <c r="V38" s="1" t="s">
        <v>594</v>
      </c>
      <c r="W38" s="1" t="s">
        <v>495</v>
      </c>
      <c r="X38" s="1" t="s">
        <v>316</v>
      </c>
      <c r="Y38" s="1" t="s">
        <v>164</v>
      </c>
      <c r="Z38" s="1" t="s">
        <v>595</v>
      </c>
      <c r="AA38" s="1" t="s">
        <v>116</v>
      </c>
      <c r="AB38" s="1" t="s">
        <v>596</v>
      </c>
      <c r="AC38" s="1" t="s">
        <v>118</v>
      </c>
      <c r="AD38" s="1" t="n">
        <f aca="false">IF(MIN(K38:Q38)&gt;=2,1,0)</f>
        <v>0</v>
      </c>
      <c r="AE38" s="1" t="n">
        <f aca="false">IF(MIN(K38:Q38)&gt;=1,1,0)</f>
        <v>0</v>
      </c>
    </row>
    <row r="39" customFormat="false" ht="15" hidden="false" customHeight="true" outlineLevel="0" collapsed="false">
      <c r="A39" s="1" t="s">
        <v>597</v>
      </c>
      <c r="B39" s="1" t="s">
        <v>598</v>
      </c>
      <c r="C39" s="1" t="s">
        <v>599</v>
      </c>
      <c r="D39" s="1" t="s">
        <v>529</v>
      </c>
      <c r="E39" s="1" t="s">
        <v>155</v>
      </c>
      <c r="F39" s="1" t="s">
        <v>155</v>
      </c>
      <c r="G39" s="1" t="s">
        <v>104</v>
      </c>
      <c r="H39" s="1" t="s">
        <v>530</v>
      </c>
      <c r="I39" s="1" t="s">
        <v>590</v>
      </c>
      <c r="J39" s="1" t="s">
        <v>600</v>
      </c>
      <c r="K39" s="1" t="n">
        <v>2</v>
      </c>
      <c r="L39" s="1" t="n">
        <v>1</v>
      </c>
      <c r="M39" s="1" t="n">
        <v>3</v>
      </c>
      <c r="N39" s="1" t="n">
        <v>2</v>
      </c>
      <c r="O39" s="1" t="n">
        <v>2</v>
      </c>
      <c r="P39" s="1" t="n">
        <v>1</v>
      </c>
      <c r="Q39" s="1" t="n">
        <v>1</v>
      </c>
      <c r="R39" s="1" t="n">
        <f aca="false">SUM(K39:Q39)</f>
        <v>12</v>
      </c>
      <c r="S39" s="1" t="s">
        <v>601</v>
      </c>
      <c r="T39" s="1" t="s">
        <v>602</v>
      </c>
      <c r="U39" s="1" t="s">
        <v>593</v>
      </c>
      <c r="V39" s="1" t="s">
        <v>603</v>
      </c>
      <c r="W39" s="1" t="s">
        <v>604</v>
      </c>
      <c r="X39" s="1" t="s">
        <v>605</v>
      </c>
      <c r="Y39" s="1" t="s">
        <v>497</v>
      </c>
      <c r="Z39" s="1" t="s">
        <v>606</v>
      </c>
      <c r="AA39" s="1" t="s">
        <v>116</v>
      </c>
      <c r="AB39" s="1" t="s">
        <v>607</v>
      </c>
      <c r="AC39" s="1" t="s">
        <v>608</v>
      </c>
      <c r="AD39" s="1" t="n">
        <f aca="false">IF(MIN(K39:Q39)&gt;=2,1,0)</f>
        <v>0</v>
      </c>
      <c r="AE39" s="1" t="n">
        <f aca="false">IF(MIN(K39:Q39)&gt;=1,1,0)</f>
        <v>1</v>
      </c>
    </row>
    <row r="40" customFormat="false" ht="15" hidden="false" customHeight="true" outlineLevel="0" collapsed="false">
      <c r="A40" s="1" t="s">
        <v>609</v>
      </c>
      <c r="B40" s="1" t="s">
        <v>610</v>
      </c>
      <c r="C40" s="1" t="s">
        <v>611</v>
      </c>
      <c r="D40" s="1" t="s">
        <v>612</v>
      </c>
      <c r="E40" s="1" t="s">
        <v>139</v>
      </c>
      <c r="F40" s="1" t="s">
        <v>139</v>
      </c>
      <c r="G40" s="1" t="s">
        <v>104</v>
      </c>
      <c r="H40" s="1" t="s">
        <v>530</v>
      </c>
      <c r="I40" s="1" t="s">
        <v>106</v>
      </c>
      <c r="J40" s="1" t="s">
        <v>613</v>
      </c>
      <c r="K40" s="1" t="n">
        <v>2</v>
      </c>
      <c r="L40" s="1" t="n">
        <v>2</v>
      </c>
      <c r="M40" s="1" t="n">
        <v>1</v>
      </c>
      <c r="N40" s="1" t="n">
        <v>3</v>
      </c>
      <c r="O40" s="1" t="n">
        <v>3</v>
      </c>
      <c r="P40" s="1" t="n">
        <v>2</v>
      </c>
      <c r="Q40" s="1" t="n">
        <v>1</v>
      </c>
      <c r="R40" s="1" t="n">
        <f aca="false">SUM(K40:Q40)</f>
        <v>14</v>
      </c>
      <c r="S40" s="1" t="s">
        <v>614</v>
      </c>
      <c r="T40" s="1" t="s">
        <v>615</v>
      </c>
      <c r="U40" s="1" t="s">
        <v>278</v>
      </c>
      <c r="V40" s="1" t="s">
        <v>616</v>
      </c>
      <c r="W40" s="1" t="s">
        <v>617</v>
      </c>
      <c r="X40" s="1" t="s">
        <v>618</v>
      </c>
      <c r="Y40" s="1" t="s">
        <v>619</v>
      </c>
      <c r="Z40" s="1" t="s">
        <v>620</v>
      </c>
      <c r="AA40" s="1" t="s">
        <v>116</v>
      </c>
      <c r="AB40" s="1" t="s">
        <v>621</v>
      </c>
      <c r="AC40" s="1" t="s">
        <v>118</v>
      </c>
      <c r="AD40" s="1" t="n">
        <f aca="false">IF(MIN(K40:Q40)&gt;=2,1,0)</f>
        <v>0</v>
      </c>
      <c r="AE40" s="1" t="n">
        <f aca="false">IF(MIN(K40:Q40)&gt;=1,1,0)</f>
        <v>1</v>
      </c>
    </row>
    <row r="41" customFormat="false" ht="15" hidden="false" customHeight="true" outlineLevel="0" collapsed="false">
      <c r="A41" s="1" t="s">
        <v>622</v>
      </c>
      <c r="B41" s="1" t="s">
        <v>623</v>
      </c>
      <c r="C41" s="1" t="s">
        <v>624</v>
      </c>
      <c r="D41" s="1" t="s">
        <v>356</v>
      </c>
      <c r="E41" s="1" t="s">
        <v>155</v>
      </c>
      <c r="F41" s="1" t="s">
        <v>155</v>
      </c>
      <c r="G41" s="1" t="s">
        <v>104</v>
      </c>
      <c r="H41" s="1" t="s">
        <v>105</v>
      </c>
      <c r="I41" s="1" t="s">
        <v>625</v>
      </c>
      <c r="J41" s="1" t="s">
        <v>626</v>
      </c>
      <c r="K41" s="1" t="n">
        <v>2</v>
      </c>
      <c r="L41" s="1" t="n">
        <v>1</v>
      </c>
      <c r="M41" s="1" t="n">
        <v>1</v>
      </c>
      <c r="N41" s="1" t="n">
        <v>2</v>
      </c>
      <c r="O41" s="1" t="n">
        <v>3</v>
      </c>
      <c r="P41" s="1" t="n">
        <v>2</v>
      </c>
      <c r="Q41" s="1" t="n">
        <v>0</v>
      </c>
      <c r="R41" s="1" t="n">
        <f aca="false">SUM(K41:Q41)</f>
        <v>11</v>
      </c>
      <c r="S41" s="1" t="s">
        <v>627</v>
      </c>
      <c r="T41" s="1" t="s">
        <v>628</v>
      </c>
      <c r="U41" s="1" t="s">
        <v>629</v>
      </c>
      <c r="V41" s="1" t="s">
        <v>630</v>
      </c>
      <c r="W41" s="1" t="s">
        <v>617</v>
      </c>
      <c r="X41" s="1" t="s">
        <v>631</v>
      </c>
      <c r="Y41" s="1" t="s">
        <v>164</v>
      </c>
      <c r="Z41" s="1" t="s">
        <v>632</v>
      </c>
      <c r="AA41" s="1" t="s">
        <v>116</v>
      </c>
      <c r="AB41" s="1" t="s">
        <v>633</v>
      </c>
      <c r="AC41" s="1" t="s">
        <v>118</v>
      </c>
      <c r="AD41" s="1" t="n">
        <f aca="false">IF(MIN(K41:Q41)&gt;=2,1,0)</f>
        <v>0</v>
      </c>
      <c r="AE41" s="1" t="n">
        <f aca="false">IF(MIN(K41:Q41)&gt;=1,1,0)</f>
        <v>0</v>
      </c>
    </row>
    <row r="42" customFormat="false" ht="15" hidden="false" customHeight="true" outlineLevel="0" collapsed="false">
      <c r="A42" s="1" t="s">
        <v>634</v>
      </c>
      <c r="B42" s="1" t="s">
        <v>635</v>
      </c>
      <c r="C42" s="1" t="s">
        <v>636</v>
      </c>
      <c r="D42" s="1" t="s">
        <v>199</v>
      </c>
      <c r="E42" s="1" t="s">
        <v>123</v>
      </c>
      <c r="F42" s="1" t="s">
        <v>123</v>
      </c>
      <c r="G42" s="1" t="s">
        <v>104</v>
      </c>
      <c r="H42" s="1" t="s">
        <v>105</v>
      </c>
      <c r="I42" s="1" t="s">
        <v>398</v>
      </c>
      <c r="J42" s="1" t="s">
        <v>637</v>
      </c>
      <c r="K42" s="1" t="n">
        <v>1</v>
      </c>
      <c r="L42" s="1" t="n">
        <v>1</v>
      </c>
      <c r="M42" s="1" t="n">
        <v>1</v>
      </c>
      <c r="N42" s="1" t="n">
        <v>1</v>
      </c>
      <c r="O42" s="1" t="n">
        <v>1</v>
      </c>
      <c r="P42" s="1" t="n">
        <v>3</v>
      </c>
      <c r="Q42" s="1" t="n">
        <v>1</v>
      </c>
      <c r="R42" s="1" t="n">
        <f aca="false">SUM(K42:Q42)</f>
        <v>9</v>
      </c>
      <c r="S42" s="1" t="s">
        <v>638</v>
      </c>
      <c r="T42" s="1" t="s">
        <v>639</v>
      </c>
      <c r="U42" s="1" t="s">
        <v>640</v>
      </c>
      <c r="V42" s="1" t="s">
        <v>641</v>
      </c>
      <c r="W42" s="1" t="s">
        <v>642</v>
      </c>
      <c r="X42" s="1" t="s">
        <v>643</v>
      </c>
      <c r="Y42" s="1" t="s">
        <v>644</v>
      </c>
      <c r="Z42" s="1" t="s">
        <v>645</v>
      </c>
      <c r="AA42" s="1" t="s">
        <v>116</v>
      </c>
      <c r="AB42" s="1" t="s">
        <v>646</v>
      </c>
      <c r="AC42" s="1" t="s">
        <v>118</v>
      </c>
      <c r="AD42" s="1" t="n">
        <f aca="false">IF(MIN(K42:Q42)&gt;=2,1,0)</f>
        <v>0</v>
      </c>
      <c r="AE42" s="1" t="n">
        <f aca="false">IF(MIN(K42:Q42)&gt;=1,1,0)</f>
        <v>1</v>
      </c>
    </row>
    <row r="43" customFormat="false" ht="15" hidden="false" customHeight="true" outlineLevel="0" collapsed="false">
      <c r="A43" s="1" t="s">
        <v>647</v>
      </c>
      <c r="B43" s="1" t="s">
        <v>648</v>
      </c>
      <c r="C43" s="1" t="s">
        <v>649</v>
      </c>
      <c r="D43" s="1" t="s">
        <v>438</v>
      </c>
      <c r="E43" s="1" t="s">
        <v>123</v>
      </c>
      <c r="F43" s="1" t="s">
        <v>123</v>
      </c>
      <c r="G43" s="1" t="s">
        <v>104</v>
      </c>
      <c r="H43" s="1" t="s">
        <v>105</v>
      </c>
      <c r="I43" s="1" t="s">
        <v>650</v>
      </c>
      <c r="J43" s="1" t="s">
        <v>651</v>
      </c>
      <c r="K43" s="1" t="n">
        <v>1</v>
      </c>
      <c r="L43" s="1" t="n">
        <v>1</v>
      </c>
      <c r="M43" s="1" t="n">
        <v>1</v>
      </c>
      <c r="N43" s="1" t="n">
        <v>1</v>
      </c>
      <c r="O43" s="1" t="n">
        <v>1</v>
      </c>
      <c r="P43" s="1" t="n">
        <v>3</v>
      </c>
      <c r="Q43" s="1" t="n">
        <v>1</v>
      </c>
      <c r="R43" s="1" t="n">
        <f aca="false">SUM(K43:Q43)</f>
        <v>9</v>
      </c>
      <c r="S43" s="1" t="s">
        <v>652</v>
      </c>
      <c r="T43" s="1" t="s">
        <v>653</v>
      </c>
      <c r="U43" s="1" t="s">
        <v>654</v>
      </c>
      <c r="V43" s="1" t="s">
        <v>655</v>
      </c>
      <c r="W43" s="1" t="s">
        <v>377</v>
      </c>
      <c r="X43" s="1" t="s">
        <v>656</v>
      </c>
      <c r="Y43" s="1" t="s">
        <v>657</v>
      </c>
      <c r="Z43" s="1" t="s">
        <v>658</v>
      </c>
      <c r="AA43" s="1" t="s">
        <v>116</v>
      </c>
      <c r="AB43" s="1" t="s">
        <v>659</v>
      </c>
      <c r="AC43" s="1" t="s">
        <v>118</v>
      </c>
      <c r="AD43" s="1" t="n">
        <f aca="false">IF(MIN(K43:Q43)&gt;=2,1,0)</f>
        <v>0</v>
      </c>
      <c r="AE43" s="1" t="n">
        <f aca="false">IF(MIN(K43:Q43)&gt;=1,1,0)</f>
        <v>1</v>
      </c>
    </row>
    <row r="44" customFormat="false" ht="15" hidden="false" customHeight="true" outlineLevel="0" collapsed="false">
      <c r="A44" s="1" t="s">
        <v>660</v>
      </c>
      <c r="B44" s="1" t="s">
        <v>661</v>
      </c>
      <c r="C44" s="1" t="s">
        <v>662</v>
      </c>
      <c r="D44" s="1" t="s">
        <v>612</v>
      </c>
      <c r="E44" s="1" t="s">
        <v>200</v>
      </c>
      <c r="F44" s="1" t="s">
        <v>200</v>
      </c>
      <c r="G44" s="1" t="s">
        <v>104</v>
      </c>
      <c r="H44" s="1" t="s">
        <v>201</v>
      </c>
      <c r="I44" s="1" t="s">
        <v>663</v>
      </c>
      <c r="J44" s="1" t="s">
        <v>664</v>
      </c>
      <c r="K44" s="1" t="n">
        <v>2</v>
      </c>
      <c r="L44" s="1" t="n">
        <v>1</v>
      </c>
      <c r="M44" s="1" t="n">
        <v>1</v>
      </c>
      <c r="N44" s="1" t="n">
        <v>1</v>
      </c>
      <c r="O44" s="1" t="n">
        <v>2</v>
      </c>
      <c r="P44" s="1" t="n">
        <v>3</v>
      </c>
      <c r="Q44" s="1" t="n">
        <v>1</v>
      </c>
      <c r="R44" s="1" t="n">
        <f aca="false">SUM(K44:Q44)</f>
        <v>11</v>
      </c>
      <c r="S44" s="1" t="s">
        <v>665</v>
      </c>
      <c r="T44" s="1" t="s">
        <v>666</v>
      </c>
      <c r="U44" s="1" t="s">
        <v>667</v>
      </c>
      <c r="V44" s="1" t="s">
        <v>668</v>
      </c>
      <c r="W44" s="1" t="s">
        <v>669</v>
      </c>
      <c r="X44" s="1" t="s">
        <v>670</v>
      </c>
      <c r="Y44" s="1" t="s">
        <v>671</v>
      </c>
      <c r="Z44" s="1" t="s">
        <v>672</v>
      </c>
      <c r="AA44" s="1" t="s">
        <v>116</v>
      </c>
      <c r="AB44" s="1" t="s">
        <v>673</v>
      </c>
      <c r="AC44" s="1" t="s">
        <v>118</v>
      </c>
      <c r="AD44" s="1" t="n">
        <f aca="false">IF(MIN(K44:Q44)&gt;=2,1,0)</f>
        <v>0</v>
      </c>
      <c r="AE44" s="1" t="n">
        <f aca="false">IF(MIN(K44:Q44)&gt;=1,1,0)</f>
        <v>1</v>
      </c>
    </row>
    <row r="45" customFormat="false" ht="15" hidden="false" customHeight="true" outlineLevel="0" collapsed="false">
      <c r="A45" s="1" t="s">
        <v>674</v>
      </c>
      <c r="B45" s="1" t="s">
        <v>675</v>
      </c>
      <c r="C45" s="1" t="s">
        <v>676</v>
      </c>
      <c r="D45" s="1" t="s">
        <v>122</v>
      </c>
      <c r="E45" s="1" t="s">
        <v>123</v>
      </c>
      <c r="F45" s="1" t="s">
        <v>123</v>
      </c>
      <c r="G45" s="1" t="s">
        <v>104</v>
      </c>
      <c r="H45" s="1" t="s">
        <v>105</v>
      </c>
      <c r="I45" s="1" t="s">
        <v>677</v>
      </c>
      <c r="J45" s="1" t="s">
        <v>678</v>
      </c>
      <c r="K45" s="1" t="n">
        <v>1</v>
      </c>
      <c r="L45" s="1" t="n">
        <v>1</v>
      </c>
      <c r="M45" s="1" t="n">
        <v>1</v>
      </c>
      <c r="N45" s="1" t="n">
        <v>1</v>
      </c>
      <c r="O45" s="1" t="n">
        <v>1</v>
      </c>
      <c r="P45" s="1" t="n">
        <v>2</v>
      </c>
      <c r="Q45" s="1" t="n">
        <v>1</v>
      </c>
      <c r="R45" s="1" t="n">
        <f aca="false">SUM(K45:Q45)</f>
        <v>8</v>
      </c>
      <c r="S45" s="1" t="s">
        <v>679</v>
      </c>
      <c r="T45" s="1" t="s">
        <v>653</v>
      </c>
      <c r="U45" s="1" t="s">
        <v>680</v>
      </c>
      <c r="V45" s="1" t="s">
        <v>668</v>
      </c>
      <c r="W45" s="1" t="s">
        <v>681</v>
      </c>
      <c r="X45" s="1" t="s">
        <v>682</v>
      </c>
      <c r="Y45" s="1" t="s">
        <v>683</v>
      </c>
      <c r="Z45" s="1" t="s">
        <v>684</v>
      </c>
      <c r="AA45" s="1" t="s">
        <v>116</v>
      </c>
      <c r="AB45" s="1" t="s">
        <v>685</v>
      </c>
      <c r="AC45" s="1" t="s">
        <v>118</v>
      </c>
      <c r="AD45" s="1" t="n">
        <f aca="false">IF(MIN(K45:Q45)&gt;=2,1,0)</f>
        <v>0</v>
      </c>
      <c r="AE45" s="1" t="n">
        <f aca="false">IF(MIN(K45:Q45)&gt;=1,1,0)</f>
        <v>1</v>
      </c>
    </row>
    <row r="46" customFormat="false" ht="15" hidden="false" customHeight="true" outlineLevel="0" collapsed="false">
      <c r="A46" s="1" t="s">
        <v>686</v>
      </c>
      <c r="B46" s="1" t="s">
        <v>687</v>
      </c>
      <c r="C46" s="1" t="s">
        <v>688</v>
      </c>
      <c r="D46" s="1" t="s">
        <v>542</v>
      </c>
      <c r="E46" s="1" t="s">
        <v>123</v>
      </c>
      <c r="F46" s="1" t="s">
        <v>123</v>
      </c>
      <c r="G46" s="1" t="s">
        <v>689</v>
      </c>
      <c r="H46" s="1" t="s">
        <v>543</v>
      </c>
      <c r="I46" s="1" t="s">
        <v>690</v>
      </c>
      <c r="J46" s="1" t="s">
        <v>691</v>
      </c>
      <c r="K46" s="1" t="n">
        <v>1</v>
      </c>
      <c r="L46" s="1" t="n">
        <v>1</v>
      </c>
      <c r="M46" s="1" t="n">
        <v>1</v>
      </c>
      <c r="N46" s="1" t="n">
        <v>2</v>
      </c>
      <c r="O46" s="1" t="n">
        <v>1</v>
      </c>
      <c r="P46" s="1" t="n">
        <v>2</v>
      </c>
      <c r="Q46" s="1" t="n">
        <v>3</v>
      </c>
      <c r="R46" s="1" t="n">
        <f aca="false">SUM(K46:Q46)</f>
        <v>11</v>
      </c>
      <c r="S46" s="1" t="s">
        <v>692</v>
      </c>
      <c r="T46" s="1" t="s">
        <v>693</v>
      </c>
      <c r="U46" s="1" t="s">
        <v>694</v>
      </c>
      <c r="V46" s="1" t="s">
        <v>695</v>
      </c>
      <c r="W46" s="1" t="s">
        <v>696</v>
      </c>
      <c r="X46" s="1" t="s">
        <v>697</v>
      </c>
      <c r="Y46" s="1" t="s">
        <v>698</v>
      </c>
      <c r="Z46" s="1" t="s">
        <v>699</v>
      </c>
      <c r="AA46" s="1" t="s">
        <v>116</v>
      </c>
      <c r="AB46" s="1" t="s">
        <v>700</v>
      </c>
      <c r="AC46" s="1" t="s">
        <v>118</v>
      </c>
      <c r="AD46" s="1" t="n">
        <f aca="false">IF(MIN(K46:Q46)&gt;=2,1,0)</f>
        <v>0</v>
      </c>
      <c r="AE46" s="1" t="n">
        <f aca="false">IF(MIN(K46:Q46)&gt;=1,1,0)</f>
        <v>1</v>
      </c>
    </row>
    <row r="47" customFormat="false" ht="15" hidden="false" customHeight="true" outlineLevel="0" collapsed="false">
      <c r="A47" s="1" t="s">
        <v>701</v>
      </c>
      <c r="B47" s="1" t="s">
        <v>702</v>
      </c>
      <c r="C47" s="1" t="s">
        <v>703</v>
      </c>
      <c r="D47" s="1" t="s">
        <v>542</v>
      </c>
      <c r="E47" s="1" t="s">
        <v>155</v>
      </c>
      <c r="F47" s="1" t="s">
        <v>155</v>
      </c>
      <c r="G47" s="1" t="s">
        <v>689</v>
      </c>
      <c r="H47" s="1" t="s">
        <v>543</v>
      </c>
      <c r="I47" s="1" t="s">
        <v>690</v>
      </c>
      <c r="J47" s="1" t="s">
        <v>704</v>
      </c>
      <c r="K47" s="1" t="n">
        <v>2</v>
      </c>
      <c r="L47" s="1" t="n">
        <v>2</v>
      </c>
      <c r="M47" s="1" t="n">
        <v>1</v>
      </c>
      <c r="N47" s="1" t="n">
        <v>2</v>
      </c>
      <c r="O47" s="1" t="n">
        <v>1</v>
      </c>
      <c r="P47" s="1" t="n">
        <v>2</v>
      </c>
      <c r="Q47" s="1" t="n">
        <v>2</v>
      </c>
      <c r="R47" s="1" t="n">
        <f aca="false">SUM(K47:Q47)</f>
        <v>12</v>
      </c>
      <c r="S47" s="1" t="s">
        <v>705</v>
      </c>
      <c r="T47" s="1" t="s">
        <v>706</v>
      </c>
      <c r="U47" s="1" t="s">
        <v>707</v>
      </c>
      <c r="V47" s="1" t="s">
        <v>708</v>
      </c>
      <c r="W47" s="1" t="s">
        <v>709</v>
      </c>
      <c r="X47" s="1" t="s">
        <v>710</v>
      </c>
      <c r="Y47" s="1" t="s">
        <v>711</v>
      </c>
      <c r="Z47" s="1" t="s">
        <v>712</v>
      </c>
      <c r="AA47" s="1" t="s">
        <v>116</v>
      </c>
      <c r="AB47" s="1" t="s">
        <v>713</v>
      </c>
      <c r="AC47" s="1" t="s">
        <v>118</v>
      </c>
      <c r="AD47" s="1" t="n">
        <f aca="false">IF(MIN(K47:Q47)&gt;=2,1,0)</f>
        <v>0</v>
      </c>
      <c r="AE47" s="1" t="n">
        <f aca="false">IF(MIN(K47:Q47)&gt;=1,1,0)</f>
        <v>1</v>
      </c>
    </row>
    <row r="48" customFormat="false" ht="15" hidden="false" customHeight="true" outlineLevel="0" collapsed="false">
      <c r="A48" s="1" t="s">
        <v>714</v>
      </c>
      <c r="B48" s="1" t="s">
        <v>715</v>
      </c>
      <c r="C48" s="1" t="s">
        <v>716</v>
      </c>
      <c r="D48" s="1" t="s">
        <v>542</v>
      </c>
      <c r="E48" s="1" t="s">
        <v>123</v>
      </c>
      <c r="F48" s="1" t="s">
        <v>123</v>
      </c>
      <c r="G48" s="1" t="s">
        <v>689</v>
      </c>
      <c r="H48" s="1" t="s">
        <v>543</v>
      </c>
      <c r="I48" s="1" t="s">
        <v>717</v>
      </c>
      <c r="J48" s="1" t="s">
        <v>718</v>
      </c>
      <c r="K48" s="1" t="n">
        <v>1</v>
      </c>
      <c r="L48" s="1" t="n">
        <v>1</v>
      </c>
      <c r="M48" s="1" t="n">
        <v>1</v>
      </c>
      <c r="N48" s="1" t="n">
        <v>2</v>
      </c>
      <c r="O48" s="1" t="n">
        <v>1</v>
      </c>
      <c r="P48" s="1" t="n">
        <v>2</v>
      </c>
      <c r="Q48" s="1" t="n">
        <v>1</v>
      </c>
      <c r="R48" s="1" t="n">
        <f aca="false">SUM(K48:Q48)</f>
        <v>9</v>
      </c>
      <c r="S48" s="1" t="s">
        <v>719</v>
      </c>
      <c r="T48" s="1" t="s">
        <v>720</v>
      </c>
      <c r="U48" s="1" t="s">
        <v>721</v>
      </c>
      <c r="V48" s="1" t="s">
        <v>722</v>
      </c>
      <c r="W48" s="1" t="s">
        <v>723</v>
      </c>
      <c r="X48" s="1" t="s">
        <v>724</v>
      </c>
      <c r="Y48" s="1" t="s">
        <v>725</v>
      </c>
      <c r="Z48" s="1" t="s">
        <v>726</v>
      </c>
      <c r="AA48" s="1" t="s">
        <v>116</v>
      </c>
      <c r="AB48" s="1" t="s">
        <v>727</v>
      </c>
      <c r="AC48" s="1" t="s">
        <v>118</v>
      </c>
      <c r="AD48" s="1" t="n">
        <f aca="false">IF(MIN(K48:Q48)&gt;=2,1,0)</f>
        <v>0</v>
      </c>
      <c r="AE48" s="1" t="n">
        <f aca="false">IF(MIN(K48:Q48)&gt;=1,1,0)</f>
        <v>1</v>
      </c>
    </row>
    <row r="49" customFormat="false" ht="15" hidden="false" customHeight="true" outlineLevel="0" collapsed="false">
      <c r="A49" s="1" t="s">
        <v>728</v>
      </c>
      <c r="B49" s="1" t="s">
        <v>729</v>
      </c>
      <c r="C49" s="1" t="s">
        <v>730</v>
      </c>
      <c r="D49" s="1" t="s">
        <v>542</v>
      </c>
      <c r="E49" s="1" t="s">
        <v>155</v>
      </c>
      <c r="F49" s="1" t="s">
        <v>155</v>
      </c>
      <c r="G49" s="1" t="s">
        <v>689</v>
      </c>
      <c r="H49" s="1" t="s">
        <v>543</v>
      </c>
      <c r="I49" s="1" t="s">
        <v>731</v>
      </c>
      <c r="J49" s="1" t="s">
        <v>732</v>
      </c>
      <c r="K49" s="1" t="n">
        <v>2</v>
      </c>
      <c r="L49" s="1" t="n">
        <v>2</v>
      </c>
      <c r="M49" s="1" t="n">
        <v>1</v>
      </c>
      <c r="N49" s="1" t="n">
        <v>2</v>
      </c>
      <c r="O49" s="1" t="n">
        <v>2</v>
      </c>
      <c r="P49" s="1" t="n">
        <v>1</v>
      </c>
      <c r="Q49" s="1" t="n">
        <v>1</v>
      </c>
      <c r="R49" s="1" t="n">
        <f aca="false">SUM(K49:Q49)</f>
        <v>11</v>
      </c>
      <c r="S49" s="1" t="s">
        <v>733</v>
      </c>
      <c r="T49" s="1" t="s">
        <v>734</v>
      </c>
      <c r="U49" s="1" t="s">
        <v>735</v>
      </c>
      <c r="V49" s="1" t="s">
        <v>736</v>
      </c>
      <c r="W49" s="1" t="s">
        <v>737</v>
      </c>
      <c r="X49" s="1" t="s">
        <v>738</v>
      </c>
      <c r="Y49" s="1" t="s">
        <v>164</v>
      </c>
      <c r="Z49" s="1" t="s">
        <v>739</v>
      </c>
      <c r="AA49" s="1" t="s">
        <v>116</v>
      </c>
      <c r="AB49" s="1" t="s">
        <v>740</v>
      </c>
      <c r="AC49" s="1" t="s">
        <v>118</v>
      </c>
      <c r="AD49" s="1" t="n">
        <f aca="false">IF(MIN(K49:Q49)&gt;=2,1,0)</f>
        <v>0</v>
      </c>
      <c r="AE49" s="1" t="n">
        <f aca="false">IF(MIN(K49:Q49)&gt;=1,1,0)</f>
        <v>1</v>
      </c>
    </row>
    <row r="50" customFormat="false" ht="15" hidden="false" customHeight="true" outlineLevel="0" collapsed="false">
      <c r="A50" s="1" t="s">
        <v>741</v>
      </c>
      <c r="B50" s="1" t="s">
        <v>742</v>
      </c>
      <c r="C50" s="1" t="s">
        <v>743</v>
      </c>
      <c r="D50" s="1" t="s">
        <v>542</v>
      </c>
      <c r="E50" s="1" t="s">
        <v>139</v>
      </c>
      <c r="F50" s="1" t="s">
        <v>139</v>
      </c>
      <c r="G50" s="1" t="s">
        <v>689</v>
      </c>
      <c r="H50" s="1" t="s">
        <v>543</v>
      </c>
      <c r="I50" s="1" t="s">
        <v>744</v>
      </c>
      <c r="J50" s="1" t="s">
        <v>745</v>
      </c>
      <c r="K50" s="1" t="n">
        <v>2</v>
      </c>
      <c r="L50" s="1" t="n">
        <v>2</v>
      </c>
      <c r="M50" s="1" t="n">
        <v>1</v>
      </c>
      <c r="N50" s="1" t="n">
        <v>2</v>
      </c>
      <c r="O50" s="1" t="n">
        <v>2</v>
      </c>
      <c r="P50" s="1" t="n">
        <v>1</v>
      </c>
      <c r="Q50" s="1" t="n">
        <v>0</v>
      </c>
      <c r="R50" s="1" t="n">
        <f aca="false">SUM(K50:Q50)</f>
        <v>10</v>
      </c>
      <c r="S50" s="1" t="s">
        <v>746</v>
      </c>
      <c r="T50" s="1" t="s">
        <v>747</v>
      </c>
      <c r="U50" s="1" t="s">
        <v>748</v>
      </c>
      <c r="V50" s="1" t="s">
        <v>749</v>
      </c>
      <c r="W50" s="1" t="s">
        <v>750</v>
      </c>
      <c r="X50" s="1" t="s">
        <v>751</v>
      </c>
      <c r="Y50" s="1" t="s">
        <v>164</v>
      </c>
      <c r="Z50" s="1" t="s">
        <v>752</v>
      </c>
      <c r="AA50" s="1" t="s">
        <v>116</v>
      </c>
      <c r="AB50" s="1" t="s">
        <v>753</v>
      </c>
      <c r="AC50" s="1" t="s">
        <v>118</v>
      </c>
      <c r="AD50" s="1" t="n">
        <f aca="false">IF(MIN(K50:Q50)&gt;=2,1,0)</f>
        <v>0</v>
      </c>
      <c r="AE50" s="1" t="n">
        <f aca="false">IF(MIN(K50:Q50)&gt;=1,1,0)</f>
        <v>0</v>
      </c>
    </row>
    <row r="51" customFormat="false" ht="15" hidden="false" customHeight="true" outlineLevel="0" collapsed="false">
      <c r="A51" s="1" t="s">
        <v>754</v>
      </c>
      <c r="B51" s="1" t="s">
        <v>755</v>
      </c>
      <c r="C51" s="1" t="s">
        <v>569</v>
      </c>
      <c r="D51" s="1" t="s">
        <v>756</v>
      </c>
      <c r="E51" s="1" t="s">
        <v>123</v>
      </c>
      <c r="F51" s="1" t="s">
        <v>123</v>
      </c>
      <c r="G51" s="1" t="s">
        <v>104</v>
      </c>
      <c r="H51" s="1" t="s">
        <v>105</v>
      </c>
      <c r="I51" s="1" t="s">
        <v>557</v>
      </c>
      <c r="J51" s="1" t="s">
        <v>757</v>
      </c>
      <c r="K51" s="1" t="n">
        <v>1</v>
      </c>
      <c r="L51" s="1" t="n">
        <v>1</v>
      </c>
      <c r="M51" s="1" t="n">
        <v>1</v>
      </c>
      <c r="N51" s="1" t="n">
        <v>1</v>
      </c>
      <c r="O51" s="1" t="n">
        <v>1</v>
      </c>
      <c r="P51" s="1" t="n">
        <v>1</v>
      </c>
      <c r="Q51" s="1" t="n">
        <v>1</v>
      </c>
      <c r="R51" s="1" t="n">
        <f aca="false">SUM(K51:Q51)</f>
        <v>7</v>
      </c>
      <c r="S51" s="1" t="s">
        <v>758</v>
      </c>
      <c r="T51" s="1" t="s">
        <v>572</v>
      </c>
      <c r="U51" s="1" t="s">
        <v>560</v>
      </c>
      <c r="V51" s="1" t="s">
        <v>759</v>
      </c>
      <c r="W51" s="1" t="s">
        <v>377</v>
      </c>
      <c r="X51" s="1" t="s">
        <v>760</v>
      </c>
      <c r="Y51" s="1" t="s">
        <v>575</v>
      </c>
      <c r="Z51" s="1" t="s">
        <v>761</v>
      </c>
      <c r="AA51" s="1" t="s">
        <v>116</v>
      </c>
      <c r="AB51" s="1" t="s">
        <v>762</v>
      </c>
      <c r="AC51" s="1" t="s">
        <v>118</v>
      </c>
      <c r="AD51" s="1" t="n">
        <f aca="false">IF(MIN(K51:Q51)&gt;=2,1,0)</f>
        <v>0</v>
      </c>
      <c r="AE51" s="1" t="n">
        <f aca="false">IF(MIN(K51:Q51)&gt;=1,1,0)</f>
        <v>1</v>
      </c>
    </row>
    <row r="52" customFormat="false" ht="15" hidden="false" customHeight="true" outlineLevel="0" collapsed="false">
      <c r="A52" s="1" t="s">
        <v>763</v>
      </c>
      <c r="B52" s="1" t="s">
        <v>764</v>
      </c>
      <c r="C52" s="1" t="s">
        <v>765</v>
      </c>
      <c r="D52" s="1" t="s">
        <v>438</v>
      </c>
      <c r="E52" s="1" t="s">
        <v>123</v>
      </c>
      <c r="F52" s="1" t="s">
        <v>249</v>
      </c>
      <c r="G52" s="1" t="s">
        <v>104</v>
      </c>
      <c r="H52" s="1" t="s">
        <v>105</v>
      </c>
      <c r="I52" s="1" t="s">
        <v>766</v>
      </c>
      <c r="J52" s="1" t="s">
        <v>767</v>
      </c>
      <c r="K52" s="1" t="n">
        <v>1</v>
      </c>
      <c r="L52" s="1" t="n">
        <v>1</v>
      </c>
      <c r="M52" s="1" t="n">
        <v>1</v>
      </c>
      <c r="N52" s="1" t="n">
        <v>1</v>
      </c>
      <c r="O52" s="1" t="n">
        <v>1</v>
      </c>
      <c r="P52" s="1" t="n">
        <v>2</v>
      </c>
      <c r="Q52" s="1" t="n">
        <v>1</v>
      </c>
      <c r="R52" s="1" t="n">
        <f aca="false">SUM(K52:Q52)</f>
        <v>8</v>
      </c>
      <c r="S52" s="1" t="s">
        <v>768</v>
      </c>
      <c r="T52" s="1" t="s">
        <v>769</v>
      </c>
      <c r="U52" s="1" t="s">
        <v>770</v>
      </c>
      <c r="V52" s="1" t="s">
        <v>389</v>
      </c>
      <c r="W52" s="1" t="s">
        <v>377</v>
      </c>
      <c r="X52" s="1" t="s">
        <v>771</v>
      </c>
      <c r="Y52" s="1" t="s">
        <v>772</v>
      </c>
      <c r="Z52" s="1" t="s">
        <v>773</v>
      </c>
      <c r="AA52" s="1" t="s">
        <v>116</v>
      </c>
      <c r="AB52" s="1" t="s">
        <v>774</v>
      </c>
      <c r="AC52" s="1" t="s">
        <v>118</v>
      </c>
      <c r="AD52" s="1" t="n">
        <f aca="false">IF(MIN(K52:Q52)&gt;=2,1,0)</f>
        <v>0</v>
      </c>
      <c r="AE52" s="1" t="n">
        <f aca="false">IF(MIN(K52:Q52)&gt;=1,1,0)</f>
        <v>1</v>
      </c>
    </row>
    <row r="53" customFormat="false" ht="15" hidden="false" customHeight="true" outlineLevel="0" collapsed="false">
      <c r="A53" s="1" t="s">
        <v>775</v>
      </c>
      <c r="B53" s="1" t="s">
        <v>776</v>
      </c>
      <c r="C53" s="1" t="s">
        <v>777</v>
      </c>
      <c r="D53" s="1" t="s">
        <v>370</v>
      </c>
      <c r="E53" s="1" t="s">
        <v>155</v>
      </c>
      <c r="F53" s="1" t="s">
        <v>155</v>
      </c>
      <c r="G53" s="1" t="s">
        <v>104</v>
      </c>
      <c r="H53" s="1" t="s">
        <v>105</v>
      </c>
      <c r="I53" s="1" t="s">
        <v>778</v>
      </c>
      <c r="J53" s="1" t="s">
        <v>779</v>
      </c>
      <c r="K53" s="1" t="n">
        <v>2</v>
      </c>
      <c r="L53" s="1" t="n">
        <v>1</v>
      </c>
      <c r="M53" s="1" t="n">
        <v>1</v>
      </c>
      <c r="N53" s="1" t="n">
        <v>1</v>
      </c>
      <c r="O53" s="1" t="n">
        <v>1</v>
      </c>
      <c r="P53" s="1" t="n">
        <v>1</v>
      </c>
      <c r="Q53" s="1" t="n">
        <v>0</v>
      </c>
      <c r="R53" s="1" t="n">
        <f aca="false">SUM(K53:Q53)</f>
        <v>7</v>
      </c>
      <c r="S53" s="1" t="s">
        <v>780</v>
      </c>
      <c r="T53" s="1" t="s">
        <v>781</v>
      </c>
      <c r="U53" s="1" t="s">
        <v>782</v>
      </c>
      <c r="V53" s="1" t="s">
        <v>783</v>
      </c>
      <c r="W53" s="1" t="s">
        <v>784</v>
      </c>
      <c r="X53" s="1" t="s">
        <v>785</v>
      </c>
      <c r="Y53" s="1" t="s">
        <v>164</v>
      </c>
      <c r="Z53" s="1" t="s">
        <v>786</v>
      </c>
      <c r="AA53" s="1" t="s">
        <v>116</v>
      </c>
      <c r="AB53" s="1" t="s">
        <v>787</v>
      </c>
      <c r="AC53" s="1" t="s">
        <v>118</v>
      </c>
      <c r="AD53" s="1" t="n">
        <f aca="false">IF(MIN(K53:Q53)&gt;=2,1,0)</f>
        <v>0</v>
      </c>
      <c r="AE53" s="1" t="n">
        <f aca="false">IF(MIN(K53:Q53)&gt;=1,1,0)</f>
        <v>0</v>
      </c>
    </row>
    <row r="54" customFormat="false" ht="15" hidden="false" customHeight="true" outlineLevel="0" collapsed="false">
      <c r="A54" s="1" t="s">
        <v>788</v>
      </c>
      <c r="B54" s="1" t="s">
        <v>789</v>
      </c>
      <c r="C54" s="1" t="s">
        <v>790</v>
      </c>
      <c r="D54" s="1" t="s">
        <v>274</v>
      </c>
      <c r="E54" s="1" t="s">
        <v>123</v>
      </c>
      <c r="F54" s="1" t="s">
        <v>123</v>
      </c>
      <c r="G54" s="1" t="s">
        <v>104</v>
      </c>
      <c r="H54" s="1" t="s">
        <v>105</v>
      </c>
      <c r="I54" s="1" t="s">
        <v>478</v>
      </c>
      <c r="J54" s="1" t="s">
        <v>791</v>
      </c>
      <c r="K54" s="1" t="n">
        <v>1</v>
      </c>
      <c r="L54" s="1" t="n">
        <v>1</v>
      </c>
      <c r="M54" s="1" t="n">
        <v>3</v>
      </c>
      <c r="N54" s="1" t="n">
        <v>2</v>
      </c>
      <c r="O54" s="1" t="n">
        <v>2</v>
      </c>
      <c r="P54" s="1" t="n">
        <v>1</v>
      </c>
      <c r="Q54" s="1" t="n">
        <v>1</v>
      </c>
      <c r="R54" s="1" t="n">
        <f aca="false">SUM(K54:Q54)</f>
        <v>11</v>
      </c>
      <c r="S54" s="1" t="s">
        <v>792</v>
      </c>
      <c r="T54" s="1" t="s">
        <v>793</v>
      </c>
      <c r="U54" s="1" t="s">
        <v>794</v>
      </c>
      <c r="V54" s="1" t="s">
        <v>795</v>
      </c>
      <c r="W54" s="1" t="s">
        <v>796</v>
      </c>
      <c r="X54" s="1" t="s">
        <v>797</v>
      </c>
      <c r="Y54" s="1" t="s">
        <v>798</v>
      </c>
      <c r="Z54" s="1" t="s">
        <v>799</v>
      </c>
      <c r="AA54" s="1" t="s">
        <v>116</v>
      </c>
      <c r="AB54" s="1" t="s">
        <v>800</v>
      </c>
      <c r="AC54" s="1" t="s">
        <v>118</v>
      </c>
      <c r="AD54" s="1" t="n">
        <f aca="false">IF(MIN(K54:Q54)&gt;=2,1,0)</f>
        <v>0</v>
      </c>
      <c r="AE54" s="1" t="n">
        <f aca="false">IF(MIN(K54:Q54)&gt;=1,1,0)</f>
        <v>1</v>
      </c>
    </row>
    <row r="55" customFormat="false" ht="15" hidden="false" customHeight="true" outlineLevel="0" collapsed="false">
      <c r="A55" s="1" t="s">
        <v>801</v>
      </c>
      <c r="B55" s="1" t="s">
        <v>802</v>
      </c>
      <c r="C55" s="1" t="s">
        <v>803</v>
      </c>
      <c r="D55" s="1" t="s">
        <v>529</v>
      </c>
      <c r="E55" s="1" t="s">
        <v>123</v>
      </c>
      <c r="F55" s="1" t="s">
        <v>123</v>
      </c>
      <c r="G55" s="1" t="s">
        <v>104</v>
      </c>
      <c r="H55" s="1" t="s">
        <v>530</v>
      </c>
      <c r="I55" s="1" t="s">
        <v>804</v>
      </c>
      <c r="J55" s="1" t="s">
        <v>805</v>
      </c>
      <c r="K55" s="1" t="n">
        <v>1</v>
      </c>
      <c r="L55" s="1" t="n">
        <v>1</v>
      </c>
      <c r="M55" s="1" t="n">
        <v>3</v>
      </c>
      <c r="N55" s="1" t="n">
        <v>1</v>
      </c>
      <c r="O55" s="1" t="n">
        <v>1</v>
      </c>
      <c r="P55" s="1" t="n">
        <v>2</v>
      </c>
      <c r="Q55" s="1" t="n">
        <v>1</v>
      </c>
      <c r="R55" s="1" t="n">
        <f aca="false">SUM(K55:Q55)</f>
        <v>10</v>
      </c>
      <c r="S55" s="1" t="s">
        <v>638</v>
      </c>
      <c r="T55" s="1" t="s">
        <v>806</v>
      </c>
      <c r="U55" s="1" t="s">
        <v>807</v>
      </c>
      <c r="V55" s="1" t="s">
        <v>547</v>
      </c>
      <c r="W55" s="1" t="s">
        <v>377</v>
      </c>
      <c r="X55" s="1" t="s">
        <v>808</v>
      </c>
      <c r="Y55" s="1" t="s">
        <v>809</v>
      </c>
      <c r="Z55" s="1" t="s">
        <v>810</v>
      </c>
      <c r="AA55" s="1" t="s">
        <v>116</v>
      </c>
      <c r="AB55" s="1" t="s">
        <v>811</v>
      </c>
      <c r="AC55" s="1" t="s">
        <v>118</v>
      </c>
      <c r="AD55" s="1" t="n">
        <f aca="false">IF(MIN(K55:Q55)&gt;=2,1,0)</f>
        <v>0</v>
      </c>
      <c r="AE55" s="1" t="n">
        <f aca="false">IF(MIN(K55:Q55)&gt;=1,1,0)</f>
        <v>1</v>
      </c>
    </row>
    <row r="56" customFormat="false" ht="15" hidden="false" customHeight="true" outlineLevel="0" collapsed="false">
      <c r="A56" s="1" t="s">
        <v>812</v>
      </c>
      <c r="B56" s="1" t="s">
        <v>813</v>
      </c>
      <c r="C56" s="1" t="s">
        <v>814</v>
      </c>
      <c r="D56" s="1" t="s">
        <v>529</v>
      </c>
      <c r="E56" s="1" t="s">
        <v>123</v>
      </c>
      <c r="F56" s="1" t="s">
        <v>123</v>
      </c>
      <c r="G56" s="1" t="s">
        <v>689</v>
      </c>
      <c r="H56" s="1" t="s">
        <v>543</v>
      </c>
      <c r="I56" s="1" t="s">
        <v>815</v>
      </c>
      <c r="J56" s="1" t="s">
        <v>816</v>
      </c>
      <c r="K56" s="1" t="n">
        <v>1</v>
      </c>
      <c r="L56" s="1" t="n">
        <v>1</v>
      </c>
      <c r="M56" s="1" t="n">
        <v>2</v>
      </c>
      <c r="N56" s="1" t="n">
        <v>2</v>
      </c>
      <c r="O56" s="1" t="n">
        <v>1</v>
      </c>
      <c r="P56" s="1" t="n">
        <v>1</v>
      </c>
      <c r="Q56" s="1" t="n">
        <v>1</v>
      </c>
      <c r="R56" s="1" t="n">
        <f aca="false">SUM(K56:Q56)</f>
        <v>9</v>
      </c>
      <c r="S56" s="1" t="s">
        <v>817</v>
      </c>
      <c r="T56" s="1" t="s">
        <v>572</v>
      </c>
      <c r="U56" s="1" t="s">
        <v>818</v>
      </c>
      <c r="V56" s="1" t="s">
        <v>819</v>
      </c>
      <c r="W56" s="1" t="s">
        <v>820</v>
      </c>
      <c r="X56" s="1" t="s">
        <v>821</v>
      </c>
      <c r="Y56" s="1" t="s">
        <v>822</v>
      </c>
      <c r="Z56" s="1" t="s">
        <v>823</v>
      </c>
      <c r="AA56" s="1" t="s">
        <v>116</v>
      </c>
      <c r="AB56" s="1" t="s">
        <v>824</v>
      </c>
      <c r="AC56" s="1" t="s">
        <v>118</v>
      </c>
      <c r="AD56" s="1" t="n">
        <f aca="false">IF(MIN(K56:Q56)&gt;=2,1,0)</f>
        <v>0</v>
      </c>
      <c r="AE56" s="1" t="n">
        <f aca="false">IF(MIN(K56:Q56)&gt;=1,1,0)</f>
        <v>1</v>
      </c>
    </row>
    <row r="57" customFormat="false" ht="15" hidden="false" customHeight="true" outlineLevel="0" collapsed="false">
      <c r="A57" s="1" t="s">
        <v>825</v>
      </c>
      <c r="B57" s="1" t="s">
        <v>826</v>
      </c>
      <c r="C57" s="1" t="s">
        <v>465</v>
      </c>
      <c r="D57" s="1" t="s">
        <v>274</v>
      </c>
      <c r="E57" s="1" t="s">
        <v>123</v>
      </c>
      <c r="F57" s="1" t="s">
        <v>123</v>
      </c>
      <c r="G57" s="1" t="s">
        <v>104</v>
      </c>
      <c r="H57" s="1" t="s">
        <v>453</v>
      </c>
      <c r="I57" s="1" t="s">
        <v>827</v>
      </c>
      <c r="J57" s="1" t="s">
        <v>828</v>
      </c>
      <c r="K57" s="1" t="n">
        <v>1</v>
      </c>
      <c r="L57" s="1" t="n">
        <v>1</v>
      </c>
      <c r="M57" s="1" t="n">
        <v>1</v>
      </c>
      <c r="N57" s="1" t="n">
        <v>1</v>
      </c>
      <c r="O57" s="1" t="n">
        <v>1</v>
      </c>
      <c r="P57" s="1" t="n">
        <v>1</v>
      </c>
      <c r="Q57" s="1" t="n">
        <v>0</v>
      </c>
      <c r="R57" s="1" t="n">
        <f aca="false">SUM(K57:Q57)</f>
        <v>6</v>
      </c>
      <c r="S57" s="1" t="s">
        <v>829</v>
      </c>
      <c r="T57" s="1" t="s">
        <v>830</v>
      </c>
      <c r="U57" s="1" t="s">
        <v>831</v>
      </c>
      <c r="V57" s="1" t="s">
        <v>832</v>
      </c>
      <c r="W57" s="1" t="s">
        <v>833</v>
      </c>
      <c r="X57" s="1" t="s">
        <v>834</v>
      </c>
      <c r="Y57" s="1" t="s">
        <v>164</v>
      </c>
      <c r="Z57" s="1" t="s">
        <v>835</v>
      </c>
      <c r="AA57" s="1" t="s">
        <v>116</v>
      </c>
      <c r="AB57" s="1" t="s">
        <v>836</v>
      </c>
      <c r="AC57" s="1" t="s">
        <v>118</v>
      </c>
      <c r="AD57" s="1" t="n">
        <f aca="false">IF(MIN(K57:Q57)&gt;=2,1,0)</f>
        <v>0</v>
      </c>
      <c r="AE57" s="1" t="n">
        <f aca="false">IF(MIN(K57:Q57)&gt;=1,1,0)</f>
        <v>0</v>
      </c>
    </row>
    <row r="58" customFormat="false" ht="15" hidden="false" customHeight="true" outlineLevel="0" collapsed="false">
      <c r="A58" s="1" t="s">
        <v>837</v>
      </c>
      <c r="B58" s="1" t="s">
        <v>838</v>
      </c>
      <c r="C58" s="1" t="s">
        <v>839</v>
      </c>
      <c r="D58" s="1" t="s">
        <v>356</v>
      </c>
      <c r="E58" s="1" t="s">
        <v>123</v>
      </c>
      <c r="F58" s="1" t="s">
        <v>249</v>
      </c>
      <c r="G58" s="1" t="s">
        <v>104</v>
      </c>
      <c r="H58" s="1" t="s">
        <v>105</v>
      </c>
      <c r="I58" s="1" t="s">
        <v>156</v>
      </c>
      <c r="J58" s="1" t="s">
        <v>840</v>
      </c>
      <c r="K58" s="1" t="n">
        <v>1</v>
      </c>
      <c r="L58" s="1" t="n">
        <v>0</v>
      </c>
      <c r="M58" s="1" t="n">
        <v>2</v>
      </c>
      <c r="N58" s="1" t="n">
        <v>1</v>
      </c>
      <c r="O58" s="1" t="n">
        <v>1</v>
      </c>
      <c r="P58" s="1" t="n">
        <v>0</v>
      </c>
      <c r="Q58" s="1" t="n">
        <v>0</v>
      </c>
      <c r="R58" s="1" t="n">
        <f aca="false">SUM(K58:Q58)</f>
        <v>5</v>
      </c>
      <c r="S58" s="1" t="s">
        <v>346</v>
      </c>
      <c r="T58" s="1" t="s">
        <v>264</v>
      </c>
      <c r="U58" s="1" t="s">
        <v>841</v>
      </c>
      <c r="V58" s="1" t="s">
        <v>337</v>
      </c>
      <c r="W58" s="1" t="s">
        <v>349</v>
      </c>
      <c r="X58" s="1" t="s">
        <v>350</v>
      </c>
      <c r="Y58" s="1" t="s">
        <v>164</v>
      </c>
      <c r="Z58" s="1" t="s">
        <v>842</v>
      </c>
      <c r="AA58" s="1" t="s">
        <v>116</v>
      </c>
      <c r="AB58" s="1" t="s">
        <v>843</v>
      </c>
      <c r="AC58" s="1" t="s">
        <v>118</v>
      </c>
      <c r="AD58" s="1" t="n">
        <f aca="false">IF(MIN(K58:Q58)&gt;=2,1,0)</f>
        <v>0</v>
      </c>
      <c r="AE58" s="1" t="n">
        <f aca="false">IF(MIN(K58:Q58)&gt;=1,1,0)</f>
        <v>0</v>
      </c>
    </row>
    <row r="59" customFormat="false" ht="15" hidden="false" customHeight="true" outlineLevel="0" collapsed="false">
      <c r="A59" s="1" t="s">
        <v>844</v>
      </c>
      <c r="B59" s="1" t="s">
        <v>845</v>
      </c>
      <c r="C59" s="1" t="s">
        <v>846</v>
      </c>
      <c r="D59" s="1" t="s">
        <v>231</v>
      </c>
      <c r="E59" s="1" t="s">
        <v>123</v>
      </c>
      <c r="F59" s="1" t="s">
        <v>123</v>
      </c>
      <c r="G59" s="1" t="s">
        <v>104</v>
      </c>
      <c r="H59" s="1" t="s">
        <v>105</v>
      </c>
      <c r="I59" s="1" t="s">
        <v>156</v>
      </c>
      <c r="J59" s="1" t="s">
        <v>847</v>
      </c>
      <c r="K59" s="1" t="n">
        <v>1</v>
      </c>
      <c r="L59" s="1" t="n">
        <v>0</v>
      </c>
      <c r="M59" s="1" t="n">
        <v>2</v>
      </c>
      <c r="N59" s="1" t="n">
        <v>1</v>
      </c>
      <c r="O59" s="1" t="n">
        <v>1</v>
      </c>
      <c r="P59" s="1" t="n">
        <v>0</v>
      </c>
      <c r="Q59" s="1" t="n">
        <v>0</v>
      </c>
      <c r="R59" s="1" t="n">
        <f aca="false">SUM(K59:Q59)</f>
        <v>5</v>
      </c>
      <c r="S59" s="1" t="s">
        <v>848</v>
      </c>
      <c r="T59" s="1" t="s">
        <v>264</v>
      </c>
      <c r="U59" s="1" t="s">
        <v>849</v>
      </c>
      <c r="V59" s="1" t="s">
        <v>850</v>
      </c>
      <c r="W59" s="1" t="s">
        <v>851</v>
      </c>
      <c r="X59" s="1" t="s">
        <v>350</v>
      </c>
      <c r="Y59" s="1" t="s">
        <v>164</v>
      </c>
      <c r="Z59" s="1" t="s">
        <v>852</v>
      </c>
      <c r="AA59" s="1" t="s">
        <v>116</v>
      </c>
      <c r="AB59" s="1" t="s">
        <v>853</v>
      </c>
      <c r="AC59" s="1" t="s">
        <v>118</v>
      </c>
      <c r="AD59" s="1" t="n">
        <f aca="false">IF(MIN(K59:Q59)&gt;=2,1,0)</f>
        <v>0</v>
      </c>
      <c r="AE59" s="1" t="n">
        <f aca="false">IF(MIN(K59:Q59)&gt;=1,1,0)</f>
        <v>0</v>
      </c>
    </row>
    <row r="60" customFormat="false" ht="15" hidden="false" customHeight="true" outlineLevel="0" collapsed="false">
      <c r="A60" s="1" t="s">
        <v>854</v>
      </c>
      <c r="B60" s="1" t="s">
        <v>855</v>
      </c>
      <c r="C60" s="1" t="s">
        <v>856</v>
      </c>
      <c r="D60" s="1" t="s">
        <v>300</v>
      </c>
      <c r="E60" s="1" t="s">
        <v>123</v>
      </c>
      <c r="F60" s="1" t="s">
        <v>123</v>
      </c>
      <c r="G60" s="1" t="s">
        <v>104</v>
      </c>
      <c r="H60" s="1" t="s">
        <v>105</v>
      </c>
      <c r="I60" s="1" t="s">
        <v>857</v>
      </c>
      <c r="J60" s="1" t="s">
        <v>858</v>
      </c>
      <c r="K60" s="1" t="n">
        <v>1</v>
      </c>
      <c r="L60" s="1" t="n">
        <v>0</v>
      </c>
      <c r="M60" s="1" t="n">
        <v>3</v>
      </c>
      <c r="N60" s="1" t="n">
        <v>2</v>
      </c>
      <c r="O60" s="1" t="n">
        <v>1</v>
      </c>
      <c r="P60" s="1" t="n">
        <v>1</v>
      </c>
      <c r="Q60" s="1" t="n">
        <v>0</v>
      </c>
      <c r="R60" s="1" t="n">
        <f aca="false">SUM(K60:Q60)</f>
        <v>8</v>
      </c>
      <c r="S60" s="1" t="s">
        <v>859</v>
      </c>
      <c r="T60" s="1" t="s">
        <v>264</v>
      </c>
      <c r="U60" s="1" t="s">
        <v>860</v>
      </c>
      <c r="V60" s="1" t="s">
        <v>861</v>
      </c>
      <c r="W60" s="1" t="s">
        <v>862</v>
      </c>
      <c r="X60" s="1" t="s">
        <v>863</v>
      </c>
      <c r="Y60" s="1" t="s">
        <v>164</v>
      </c>
      <c r="Z60" s="1" t="s">
        <v>864</v>
      </c>
      <c r="AA60" s="1" t="s">
        <v>116</v>
      </c>
      <c r="AB60" s="1" t="s">
        <v>865</v>
      </c>
      <c r="AC60" s="1" t="s">
        <v>118</v>
      </c>
      <c r="AD60" s="1" t="n">
        <f aca="false">IF(MIN(K60:Q60)&gt;=2,1,0)</f>
        <v>0</v>
      </c>
      <c r="AE60" s="1" t="n">
        <f aca="false">IF(MIN(K60:Q60)&gt;=1,1,0)</f>
        <v>0</v>
      </c>
    </row>
    <row r="61" customFormat="false" ht="15" hidden="false" customHeight="true" outlineLevel="0" collapsed="false">
      <c r="A61" s="1" t="s">
        <v>866</v>
      </c>
      <c r="B61" s="1" t="s">
        <v>867</v>
      </c>
      <c r="C61" s="1" t="s">
        <v>868</v>
      </c>
      <c r="D61" s="1" t="s">
        <v>516</v>
      </c>
      <c r="E61" s="1" t="s">
        <v>139</v>
      </c>
      <c r="F61" s="1" t="s">
        <v>249</v>
      </c>
      <c r="G61" s="1" t="s">
        <v>104</v>
      </c>
      <c r="H61" s="1" t="s">
        <v>105</v>
      </c>
      <c r="I61" s="1" t="s">
        <v>156</v>
      </c>
      <c r="J61" s="1" t="s">
        <v>869</v>
      </c>
      <c r="K61" s="1" t="n">
        <v>1</v>
      </c>
      <c r="L61" s="1" t="n">
        <v>0</v>
      </c>
      <c r="M61" s="1" t="n">
        <v>2</v>
      </c>
      <c r="N61" s="1" t="n">
        <v>2</v>
      </c>
      <c r="O61" s="1" t="n">
        <v>2</v>
      </c>
      <c r="P61" s="1" t="n">
        <v>0</v>
      </c>
      <c r="Q61" s="1" t="n">
        <v>0</v>
      </c>
      <c r="R61" s="1" t="n">
        <f aca="false">SUM(K61:Q61)</f>
        <v>7</v>
      </c>
      <c r="S61" s="1" t="s">
        <v>870</v>
      </c>
      <c r="T61" s="1" t="s">
        <v>264</v>
      </c>
      <c r="U61" s="1" t="s">
        <v>871</v>
      </c>
      <c r="V61" s="1" t="s">
        <v>872</v>
      </c>
      <c r="W61" s="1" t="s">
        <v>873</v>
      </c>
      <c r="X61" s="1" t="s">
        <v>316</v>
      </c>
      <c r="Y61" s="1" t="s">
        <v>164</v>
      </c>
      <c r="Z61" s="1" t="s">
        <v>874</v>
      </c>
      <c r="AA61" s="1" t="s">
        <v>116</v>
      </c>
      <c r="AB61" s="1" t="s">
        <v>875</v>
      </c>
      <c r="AC61" s="1" t="s">
        <v>118</v>
      </c>
      <c r="AD61" s="1" t="n">
        <f aca="false">IF(MIN(K61:Q61)&gt;=2,1,0)</f>
        <v>0</v>
      </c>
      <c r="AE61" s="1" t="n">
        <f aca="false">IF(MIN(K61:Q61)&gt;=1,1,0)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876</v>
      </c>
    </row>
    <row r="3" customFormat="false" ht="15" hidden="false" customHeight="true" outlineLevel="0" collapsed="false">
      <c r="A3" s="1" t="s">
        <v>877</v>
      </c>
      <c r="B3" s="1" t="s">
        <v>878</v>
      </c>
      <c r="C3" s="1" t="s">
        <v>879</v>
      </c>
      <c r="D3" s="1" t="s">
        <v>880</v>
      </c>
      <c r="E3" s="1" t="s">
        <v>881</v>
      </c>
      <c r="F3" s="1" t="s">
        <v>882</v>
      </c>
    </row>
    <row r="4" customFormat="false" ht="15" hidden="false" customHeight="true" outlineLevel="0" collapsed="false">
      <c r="A4" s="1" t="s">
        <v>883</v>
      </c>
      <c r="B4" s="1" t="s">
        <v>884</v>
      </c>
      <c r="C4" s="1" t="s">
        <v>885</v>
      </c>
      <c r="D4" s="1" t="s">
        <v>886</v>
      </c>
      <c r="E4" s="1" t="s">
        <v>887</v>
      </c>
      <c r="F4" s="1" t="s">
        <v>888</v>
      </c>
    </row>
    <row r="5" customFormat="false" ht="15" hidden="false" customHeight="true" outlineLevel="0" collapsed="false">
      <c r="A5" s="1" t="s">
        <v>889</v>
      </c>
      <c r="B5" s="1" t="s">
        <v>890</v>
      </c>
      <c r="C5" s="1" t="s">
        <v>891</v>
      </c>
      <c r="D5" s="1" t="s">
        <v>892</v>
      </c>
      <c r="E5" s="1" t="s">
        <v>893</v>
      </c>
      <c r="F5" s="1" t="s">
        <v>894</v>
      </c>
    </row>
    <row r="6" customFormat="false" ht="15" hidden="false" customHeight="true" outlineLevel="0" collapsed="false">
      <c r="A6" s="1" t="s">
        <v>895</v>
      </c>
      <c r="B6" s="1" t="s">
        <v>896</v>
      </c>
      <c r="C6" s="1" t="s">
        <v>897</v>
      </c>
      <c r="D6" s="1" t="s">
        <v>898</v>
      </c>
      <c r="E6" s="1" t="s">
        <v>899</v>
      </c>
      <c r="F6" s="1" t="s">
        <v>900</v>
      </c>
    </row>
    <row r="7" customFormat="false" ht="15" hidden="false" customHeight="true" outlineLevel="0" collapsed="false">
      <c r="A7" s="1" t="s">
        <v>901</v>
      </c>
      <c r="B7" s="1" t="s">
        <v>902</v>
      </c>
      <c r="C7" s="1" t="s">
        <v>903</v>
      </c>
      <c r="D7" s="1" t="s">
        <v>904</v>
      </c>
      <c r="E7" s="1" t="s">
        <v>905</v>
      </c>
      <c r="F7" s="1" t="s">
        <v>906</v>
      </c>
    </row>
    <row r="8" customFormat="false" ht="15" hidden="false" customHeight="true" outlineLevel="0" collapsed="false">
      <c r="A8" s="1" t="s">
        <v>907</v>
      </c>
      <c r="B8" s="1" t="s">
        <v>908</v>
      </c>
      <c r="C8" s="1" t="s">
        <v>909</v>
      </c>
      <c r="D8" s="1" t="s">
        <v>910</v>
      </c>
      <c r="E8" s="1" t="s">
        <v>911</v>
      </c>
      <c r="F8" s="1" t="s">
        <v>900</v>
      </c>
    </row>
    <row r="9" customFormat="false" ht="15" hidden="false" customHeight="true" outlineLevel="0" collapsed="false">
      <c r="A9" s="1" t="s">
        <v>912</v>
      </c>
      <c r="B9" s="1" t="s">
        <v>913</v>
      </c>
      <c r="C9" s="1" t="s">
        <v>914</v>
      </c>
      <c r="D9" s="1" t="s">
        <v>915</v>
      </c>
      <c r="E9" s="1" t="s">
        <v>916</v>
      </c>
      <c r="F9" s="1" t="s">
        <v>917</v>
      </c>
    </row>
    <row r="10" customFormat="false" ht="15" hidden="false" customHeight="true" outlineLevel="0" collapsed="false">
      <c r="A10" s="1" t="s">
        <v>918</v>
      </c>
      <c r="B10" s="1" t="s">
        <v>919</v>
      </c>
      <c r="C10" s="1" t="s">
        <v>920</v>
      </c>
      <c r="D10" s="1" t="s">
        <v>921</v>
      </c>
      <c r="E10" s="1" t="s">
        <v>922</v>
      </c>
      <c r="F10" s="1" t="s">
        <v>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924</v>
      </c>
    </row>
    <row r="3" customFormat="false" ht="15" hidden="false" customHeight="true" outlineLevel="0" collapsed="false">
      <c r="A3" s="1" t="s">
        <v>925</v>
      </c>
    </row>
    <row r="5" customFormat="false" ht="15" hidden="false" customHeight="true" outlineLevel="0" collapsed="false">
      <c r="A5" s="1" t="s">
        <v>926</v>
      </c>
    </row>
    <row r="6" customFormat="false" ht="15" hidden="false" customHeight="true" outlineLevel="0" collapsed="false">
      <c r="A6" s="1" t="s">
        <v>927</v>
      </c>
    </row>
    <row r="7" customFormat="false" ht="15" hidden="false" customHeight="true" outlineLevel="0" collapsed="false">
      <c r="A7" s="1" t="s">
        <v>928</v>
      </c>
    </row>
    <row r="8" customFormat="false" ht="15" hidden="false" customHeight="true" outlineLevel="0" collapsed="false">
      <c r="A8" s="1" t="s">
        <v>929</v>
      </c>
    </row>
    <row r="10" customFormat="false" ht="15" hidden="false" customHeight="true" outlineLevel="0" collapsed="false">
      <c r="A10" s="1" t="s">
        <v>930</v>
      </c>
    </row>
    <row r="12" customFormat="false" ht="15" hidden="false" customHeight="true" outlineLevel="0" collapsed="false">
      <c r="A12" s="1" t="s">
        <v>931</v>
      </c>
    </row>
    <row r="15" customFormat="false" ht="15" hidden="false" customHeight="true" outlineLevel="0" collapsed="false">
      <c r="A15" s="1" t="s">
        <v>932</v>
      </c>
      <c r="B15" s="1" t="s">
        <v>78</v>
      </c>
      <c r="C15" s="1" t="s">
        <v>79</v>
      </c>
      <c r="D15" s="1" t="s">
        <v>80</v>
      </c>
      <c r="E15" s="1" t="s">
        <v>81</v>
      </c>
      <c r="F15" s="1" t="s">
        <v>82</v>
      </c>
      <c r="G15" s="1" t="s">
        <v>83</v>
      </c>
      <c r="H15" s="1" t="s">
        <v>84</v>
      </c>
    </row>
    <row r="16" customFormat="false" ht="15" hidden="false" customHeight="true" outlineLevel="0" collapsed="false">
      <c r="A16" s="1" t="s">
        <v>78</v>
      </c>
      <c r="B16" s="1" t="n">
        <f aca="false">COUNTIF('Review Matrix'!K2:K61,"&gt;=2")</f>
        <v>22</v>
      </c>
      <c r="C16" s="1" t="n">
        <f aca="false">IFERROR(COUNTIFS('Review Matrix'!K2:K61,"&gt;=2",'Review Matrix'!L2:L61,"&gt;=2")/COUNTIF('Review Matrix'!L2:L61,"&gt;=2"),0)</f>
        <v>1</v>
      </c>
      <c r="D16" s="1" t="n">
        <f aca="false">IFERROR(COUNTIFS('Review Matrix'!K2:K61,"&gt;=2",'Review Matrix'!M2:M61,"&gt;=2")/COUNTIF('Review Matrix'!M2:M61,"&gt;=2"),0)</f>
        <v>0.258064516129032</v>
      </c>
      <c r="E16" s="1" t="n">
        <f aca="false">IFERROR(COUNTIFS('Review Matrix'!K2:K61,"&gt;=2",'Review Matrix'!N2:N61,"&gt;=2")/COUNTIF('Review Matrix'!N2:N61,"&gt;=2"),0)</f>
        <v>0.393939393939394</v>
      </c>
      <c r="F16" s="1" t="n">
        <f aca="false">IFERROR(COUNTIFS('Review Matrix'!K2:K61,"&gt;=2",'Review Matrix'!O2:O61,"&gt;=2")/COUNTIF('Review Matrix'!O2:O61,"&gt;=2"),0)</f>
        <v>0.666666666666667</v>
      </c>
      <c r="G16" s="1" t="n">
        <f aca="false">IFERROR(COUNTIFS('Review Matrix'!K2:K61,"&gt;=2",'Review Matrix'!P2:P61,"&gt;=2")/COUNTIF('Review Matrix'!P2:P61,"&gt;=2"),0)</f>
        <v>0.52</v>
      </c>
      <c r="H16" s="1" t="n">
        <f aca="false">IFERROR(COUNTIFS('Review Matrix'!K2:K61,"&gt;=2",'Review Matrix'!Q2:Q61,"&gt;=2")/COUNTIF('Review Matrix'!Q2:Q61,"&gt;=2"),0)</f>
        <v>0.166666666666667</v>
      </c>
    </row>
    <row r="17" customFormat="false" ht="15" hidden="false" customHeight="true" outlineLevel="0" collapsed="false">
      <c r="A17" s="1" t="s">
        <v>79</v>
      </c>
      <c r="B17" s="1" t="n">
        <f aca="false">IFERROR(COUNTIFS('Review Matrix'!L2:L61,"&gt;=2",'Review Matrix'!K2:K61,"&gt;=2")/COUNTIF('Review Matrix'!K2:K61,"&gt;=2"),0)</f>
        <v>0.5</v>
      </c>
      <c r="C17" s="1" t="n">
        <f aca="false">COUNTIF('Review Matrix'!L2:L61,"&gt;=2")</f>
        <v>11</v>
      </c>
      <c r="D17" s="1" t="n">
        <f aca="false">IFERROR(COUNTIFS('Review Matrix'!L2:L61,"&gt;=2",'Review Matrix'!M2:M61,"&gt;=2")/COUNTIF('Review Matrix'!M2:M61,"&gt;=2"),0)</f>
        <v>0.0967741935483871</v>
      </c>
      <c r="E17" s="1" t="n">
        <f aca="false">IFERROR(COUNTIFS('Review Matrix'!L2:L61,"&gt;=2",'Review Matrix'!N2:N61,"&gt;=2")/COUNTIF('Review Matrix'!N2:N61,"&gt;=2"),0)</f>
        <v>0.212121212121212</v>
      </c>
      <c r="F17" s="1" t="n">
        <f aca="false">IFERROR(COUNTIFS('Review Matrix'!L2:L61,"&gt;=2",'Review Matrix'!O2:O61,"&gt;=2")/COUNTIF('Review Matrix'!O2:O61,"&gt;=2"),0)</f>
        <v>0.37037037037037</v>
      </c>
      <c r="G17" s="1" t="n">
        <f aca="false">IFERROR(COUNTIFS('Review Matrix'!L2:L61,"&gt;=2",'Review Matrix'!P2:P61,"&gt;=2")/COUNTIF('Review Matrix'!P2:P61,"&gt;=2"),0)</f>
        <v>0.36</v>
      </c>
      <c r="H17" s="1" t="n">
        <f aca="false">IFERROR(COUNTIFS('Review Matrix'!L2:L61,"&gt;=2",'Review Matrix'!Q2:Q61,"&gt;=2")/COUNTIF('Review Matrix'!Q2:Q61,"&gt;=2"),0)</f>
        <v>0.166666666666667</v>
      </c>
    </row>
    <row r="18" customFormat="false" ht="15" hidden="false" customHeight="true" outlineLevel="0" collapsed="false">
      <c r="A18" s="1" t="s">
        <v>80</v>
      </c>
      <c r="B18" s="1" t="n">
        <f aca="false">IFERROR(COUNTIFS('Review Matrix'!M2:M61,"&gt;=2",'Review Matrix'!K2:K61,"&gt;=2")/COUNTIF('Review Matrix'!K2:K61,"&gt;=2"),0)</f>
        <v>0.363636363636364</v>
      </c>
      <c r="C18" s="1" t="n">
        <f aca="false">IFERROR(COUNTIFS('Review Matrix'!M2:M61,"&gt;=2",'Review Matrix'!L2:L61,"&gt;=2")/COUNTIF('Review Matrix'!L2:L61,"&gt;=2"),0)</f>
        <v>0.272727272727273</v>
      </c>
      <c r="D18" s="1" t="n">
        <f aca="false">COUNTIF('Review Matrix'!M2:M61,"&gt;=2")</f>
        <v>31</v>
      </c>
      <c r="E18" s="1" t="n">
        <f aca="false">IFERROR(COUNTIFS('Review Matrix'!M2:M61,"&gt;=2",'Review Matrix'!N2:N61,"&gt;=2")/COUNTIF('Review Matrix'!N2:N61,"&gt;=2"),0)</f>
        <v>0.515151515151515</v>
      </c>
      <c r="F18" s="1" t="n">
        <f aca="false">IFERROR(COUNTIFS('Review Matrix'!M2:M61,"&gt;=2",'Review Matrix'!O2:O61,"&gt;=2")/COUNTIF('Review Matrix'!O2:O61,"&gt;=2"),0)</f>
        <v>0.518518518518519</v>
      </c>
      <c r="G18" s="1" t="n">
        <f aca="false">IFERROR(COUNTIFS('Review Matrix'!M2:M61,"&gt;=2",'Review Matrix'!P2:P61,"&gt;=2")/COUNTIF('Review Matrix'!P2:P61,"&gt;=2"),0)</f>
        <v>0.4</v>
      </c>
      <c r="H18" s="1" t="n">
        <f aca="false">IFERROR(COUNTIFS('Review Matrix'!M2:M61,"&gt;=2",'Review Matrix'!Q2:Q61,"&gt;=2")/COUNTIF('Review Matrix'!Q2:Q61,"&gt;=2"),0)</f>
        <v>0.333333333333333</v>
      </c>
    </row>
    <row r="19" customFormat="false" ht="15" hidden="false" customHeight="true" outlineLevel="0" collapsed="false">
      <c r="A19" s="1" t="s">
        <v>81</v>
      </c>
      <c r="B19" s="1" t="n">
        <f aca="false">IFERROR(COUNTIFS('Review Matrix'!N2:N61,"&gt;=2",'Review Matrix'!K2:K61,"&gt;=2")/COUNTIF('Review Matrix'!K2:K61,"&gt;=2"),0)</f>
        <v>0.590909090909091</v>
      </c>
      <c r="C19" s="1" t="n">
        <f aca="false">IFERROR(COUNTIFS('Review Matrix'!N2:N61,"&gt;=2",'Review Matrix'!L2:L61,"&gt;=2")/COUNTIF('Review Matrix'!L2:L61,"&gt;=2"),0)</f>
        <v>0.636363636363636</v>
      </c>
      <c r="D19" s="1" t="n">
        <f aca="false">IFERROR(COUNTIFS('Review Matrix'!N2:N61,"&gt;=2",'Review Matrix'!M2:M61,"&gt;=2")/COUNTIF('Review Matrix'!M2:M61,"&gt;=2"),0)</f>
        <v>0.548387096774194</v>
      </c>
      <c r="E19" s="1" t="n">
        <f aca="false">COUNTIF('Review Matrix'!N2:N61,"&gt;=2")</f>
        <v>33</v>
      </c>
      <c r="F19" s="1" t="n">
        <f aca="false">IFERROR(COUNTIFS('Review Matrix'!N2:N61,"&gt;=2",'Review Matrix'!O2:O61,"&gt;=2")/COUNTIF('Review Matrix'!O2:O61,"&gt;=2"),0)</f>
        <v>0.740740740740741</v>
      </c>
      <c r="G19" s="1" t="n">
        <f aca="false">IFERROR(COUNTIFS('Review Matrix'!N2:N61,"&gt;=2",'Review Matrix'!P2:P61,"&gt;=2")/COUNTIF('Review Matrix'!P2:P61,"&gt;=2"),0)</f>
        <v>0.48</v>
      </c>
      <c r="H19" s="1" t="n">
        <f aca="false">IFERROR(COUNTIFS('Review Matrix'!N2:N61,"&gt;=2",'Review Matrix'!Q2:Q61,"&gt;=2")/COUNTIF('Review Matrix'!Q2:Q61,"&gt;=2"),0)</f>
        <v>0.5</v>
      </c>
    </row>
    <row r="20" customFormat="false" ht="15" hidden="false" customHeight="true" outlineLevel="0" collapsed="false">
      <c r="A20" s="1" t="s">
        <v>82</v>
      </c>
      <c r="B20" s="1" t="n">
        <f aca="false">IFERROR(COUNTIFS('Review Matrix'!O2:O61,"&gt;=2",'Review Matrix'!K2:K61,"&gt;=2")/COUNTIF('Review Matrix'!K2:K61,"&gt;=2"),0)</f>
        <v>0.818181818181818</v>
      </c>
      <c r="C20" s="1" t="n">
        <f aca="false">IFERROR(COUNTIFS('Review Matrix'!O2:O61,"&gt;=2",'Review Matrix'!L2:L61,"&gt;=2")/COUNTIF('Review Matrix'!L2:L61,"&gt;=2"),0)</f>
        <v>0.909090909090909</v>
      </c>
      <c r="D20" s="1" t="n">
        <f aca="false">IFERROR(COUNTIFS('Review Matrix'!O2:O61,"&gt;=2",'Review Matrix'!M2:M61,"&gt;=2")/COUNTIF('Review Matrix'!M2:M61,"&gt;=2"),0)</f>
        <v>0.451612903225806</v>
      </c>
      <c r="E20" s="1" t="n">
        <f aca="false">IFERROR(COUNTIFS('Review Matrix'!O2:O61,"&gt;=2",'Review Matrix'!N2:N61,"&gt;=2")/COUNTIF('Review Matrix'!N2:N61,"&gt;=2"),0)</f>
        <v>0.606060606060606</v>
      </c>
      <c r="F20" s="1" t="n">
        <f aca="false">COUNTIF('Review Matrix'!O2:O61,"&gt;=2")</f>
        <v>27</v>
      </c>
      <c r="G20" s="1" t="n">
        <f aca="false">IFERROR(COUNTIFS('Review Matrix'!O2:O61,"&gt;=2",'Review Matrix'!P2:P61,"&gt;=2")/COUNTIF('Review Matrix'!P2:P61,"&gt;=2"),0)</f>
        <v>0.52</v>
      </c>
      <c r="H20" s="1" t="n">
        <f aca="false">IFERROR(COUNTIFS('Review Matrix'!O2:O61,"&gt;=2",'Review Matrix'!Q2:Q61,"&gt;=2")/COUNTIF('Review Matrix'!Q2:Q61,"&gt;=2"),0)</f>
        <v>0.166666666666667</v>
      </c>
    </row>
    <row r="21" customFormat="false" ht="15" hidden="false" customHeight="true" outlineLevel="0" collapsed="false">
      <c r="A21" s="1" t="s">
        <v>83</v>
      </c>
      <c r="B21" s="1" t="n">
        <f aca="false">IFERROR(COUNTIFS('Review Matrix'!P2:P61,"&gt;=2",'Review Matrix'!K2:K61,"&gt;=2")/COUNTIF('Review Matrix'!K2:K61,"&gt;=2"),0)</f>
        <v>0.590909090909091</v>
      </c>
      <c r="C21" s="1" t="n">
        <f aca="false">IFERROR(COUNTIFS('Review Matrix'!P2:P61,"&gt;=2",'Review Matrix'!L2:L61,"&gt;=2")/COUNTIF('Review Matrix'!L2:L61,"&gt;=2"),0)</f>
        <v>0.818181818181818</v>
      </c>
      <c r="D21" s="1" t="n">
        <f aca="false">IFERROR(COUNTIFS('Review Matrix'!P2:P61,"&gt;=2",'Review Matrix'!M2:M61,"&gt;=2")/COUNTIF('Review Matrix'!M2:M61,"&gt;=2"),0)</f>
        <v>0.32258064516129</v>
      </c>
      <c r="E21" s="1" t="n">
        <f aca="false">IFERROR(COUNTIFS('Review Matrix'!P2:P61,"&gt;=2",'Review Matrix'!N2:N61,"&gt;=2")/COUNTIF('Review Matrix'!N2:N61,"&gt;=2"),0)</f>
        <v>0.363636363636364</v>
      </c>
      <c r="F21" s="1" t="n">
        <f aca="false">IFERROR(COUNTIFS('Review Matrix'!P2:P61,"&gt;=2",'Review Matrix'!O2:O61,"&gt;=2")/COUNTIF('Review Matrix'!O2:O61,"&gt;=2"),0)</f>
        <v>0.481481481481481</v>
      </c>
      <c r="G21" s="1" t="n">
        <f aca="false">COUNTIF('Review Matrix'!P2:P61,"&gt;=2")</f>
        <v>25</v>
      </c>
      <c r="H21" s="1" t="n">
        <f aca="false">IFERROR(COUNTIFS('Review Matrix'!P2:P61,"&gt;=2",'Review Matrix'!Q2:Q61,"&gt;=2")/COUNTIF('Review Matrix'!Q2:Q61,"&gt;=2"),0)</f>
        <v>0.666666666666667</v>
      </c>
    </row>
    <row r="22" customFormat="false" ht="15" hidden="false" customHeight="true" outlineLevel="0" collapsed="false">
      <c r="A22" s="1" t="s">
        <v>84</v>
      </c>
      <c r="B22" s="1" t="n">
        <f aca="false">IFERROR(COUNTIFS('Review Matrix'!Q2:Q61,"&gt;=2",'Review Matrix'!K2:K61,"&gt;=2")/COUNTIF('Review Matrix'!K2:K61,"&gt;=2"),0)</f>
        <v>0.0454545454545455</v>
      </c>
      <c r="C22" s="1" t="n">
        <f aca="false">IFERROR(COUNTIFS('Review Matrix'!Q2:Q61,"&gt;=2",'Review Matrix'!L2:L61,"&gt;=2")/COUNTIF('Review Matrix'!L2:L61,"&gt;=2"),0)</f>
        <v>0.0909090909090909</v>
      </c>
      <c r="D22" s="1" t="n">
        <f aca="false">IFERROR(COUNTIFS('Review Matrix'!Q2:Q61,"&gt;=2",'Review Matrix'!M2:M61,"&gt;=2")/COUNTIF('Review Matrix'!M2:M61,"&gt;=2"),0)</f>
        <v>0.0645161290322581</v>
      </c>
      <c r="E22" s="1" t="n">
        <f aca="false">IFERROR(COUNTIFS('Review Matrix'!Q2:Q61,"&gt;=2",'Review Matrix'!N2:N61,"&gt;=2")/COUNTIF('Review Matrix'!N2:N61,"&gt;=2"),0)</f>
        <v>0.0909090909090909</v>
      </c>
      <c r="F22" s="1" t="n">
        <f aca="false">IFERROR(COUNTIFS('Review Matrix'!Q2:Q61,"&gt;=2",'Review Matrix'!O2:O61,"&gt;=2")/COUNTIF('Review Matrix'!O2:O61,"&gt;=2"),0)</f>
        <v>0.037037037037037</v>
      </c>
      <c r="G22" s="1" t="n">
        <f aca="false">IFERROR(COUNTIFS('Review Matrix'!Q2:Q61,"&gt;=2",'Review Matrix'!P2:P61,"&gt;=2")/COUNTIF('Review Matrix'!P2:P61,"&gt;=2"),0)</f>
        <v>0.16</v>
      </c>
      <c r="H22" s="1" t="n">
        <f aca="false">COUNTIF('Review Matrix'!Q2:Q61,"&gt;=2")</f>
        <v>6</v>
      </c>
    </row>
    <row r="24" customFormat="false" ht="15" hidden="false" customHeight="true" outlineLevel="0" collapsed="false">
      <c r="A24" s="1" t="s">
        <v>933</v>
      </c>
    </row>
    <row r="25" customFormat="false" ht="15" hidden="false" customHeight="true" outlineLevel="0" collapsed="false">
      <c r="A25" s="1" t="s">
        <v>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935</v>
      </c>
    </row>
    <row r="3" customFormat="false" ht="15" hidden="false" customHeight="true" outlineLevel="0" collapsed="false">
      <c r="A3" s="1" t="s">
        <v>936</v>
      </c>
      <c r="B3" s="1" t="s">
        <v>937</v>
      </c>
      <c r="C3" s="1" t="s">
        <v>938</v>
      </c>
      <c r="D3" s="1" t="s">
        <v>96</v>
      </c>
    </row>
    <row r="4" customFormat="false" ht="15" hidden="false" customHeight="true" outlineLevel="0" collapsed="false">
      <c r="A4" s="1" t="s">
        <v>939</v>
      </c>
      <c r="B4" s="1" t="s">
        <v>940</v>
      </c>
      <c r="C4" s="1" t="s">
        <v>941</v>
      </c>
      <c r="D4" s="1" t="s">
        <v>942</v>
      </c>
    </row>
    <row r="5" customFormat="false" ht="15" hidden="false" customHeight="true" outlineLevel="0" collapsed="false">
      <c r="A5" s="1" t="s">
        <v>943</v>
      </c>
      <c r="B5" s="1" t="s">
        <v>944</v>
      </c>
      <c r="C5" s="1" t="s">
        <v>945</v>
      </c>
      <c r="D5" s="1" t="s">
        <v>942</v>
      </c>
    </row>
    <row r="6" customFormat="false" ht="15" hidden="false" customHeight="true" outlineLevel="0" collapsed="false">
      <c r="A6" s="1" t="s">
        <v>946</v>
      </c>
      <c r="B6" s="1" t="s">
        <v>947</v>
      </c>
      <c r="C6" s="1" t="s">
        <v>948</v>
      </c>
      <c r="D6" s="1" t="s">
        <v>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950</v>
      </c>
    </row>
    <row r="2" customFormat="false" ht="15" hidden="false" customHeight="true" outlineLevel="0" collapsed="false">
      <c r="A2" s="1" t="s">
        <v>951</v>
      </c>
    </row>
    <row r="4" customFormat="false" ht="15" hidden="false" customHeight="true" outlineLevel="0" collapsed="false">
      <c r="A4" s="1" t="s">
        <v>952</v>
      </c>
    </row>
    <row r="5" customFormat="false" ht="15" hidden="false" customHeight="true" outlineLevel="0" collapsed="false">
      <c r="A5" s="1" t="s">
        <v>877</v>
      </c>
      <c r="B5" s="1" t="s">
        <v>953</v>
      </c>
      <c r="C5" s="1" t="s">
        <v>954</v>
      </c>
      <c r="D5" s="1" t="s">
        <v>955</v>
      </c>
      <c r="E5" s="1" t="s">
        <v>956</v>
      </c>
      <c r="F5" s="1" t="s">
        <v>85</v>
      </c>
    </row>
    <row r="6" customFormat="false" ht="15" hidden="false" customHeight="true" outlineLevel="0" collapsed="false">
      <c r="A6" s="1" t="s">
        <v>78</v>
      </c>
      <c r="B6" s="1" t="n">
        <v>3</v>
      </c>
      <c r="C6" s="1" t="n">
        <v>35</v>
      </c>
      <c r="D6" s="1" t="n">
        <v>21</v>
      </c>
      <c r="E6" s="1" t="n">
        <v>1</v>
      </c>
      <c r="F6" s="1" t="n">
        <v>60</v>
      </c>
    </row>
    <row r="7" customFormat="false" ht="15" hidden="false" customHeight="true" outlineLevel="0" collapsed="false">
      <c r="A7" s="1" t="s">
        <v>79</v>
      </c>
      <c r="B7" s="1" t="n">
        <v>17</v>
      </c>
      <c r="C7" s="1" t="n">
        <v>32</v>
      </c>
      <c r="D7" s="1" t="n">
        <v>10</v>
      </c>
      <c r="E7" s="1" t="n">
        <v>1</v>
      </c>
      <c r="F7" s="1" t="n">
        <v>60</v>
      </c>
    </row>
    <row r="8" customFormat="false" ht="15" hidden="false" customHeight="true" outlineLevel="0" collapsed="false">
      <c r="A8" s="1" t="s">
        <v>80</v>
      </c>
      <c r="B8" s="1" t="n">
        <v>0</v>
      </c>
      <c r="C8" s="1" t="n">
        <v>29</v>
      </c>
      <c r="D8" s="1" t="n">
        <v>15</v>
      </c>
      <c r="E8" s="1" t="n">
        <v>16</v>
      </c>
      <c r="F8" s="1" t="n">
        <v>60</v>
      </c>
    </row>
    <row r="9" customFormat="false" ht="15" hidden="false" customHeight="true" outlineLevel="0" collapsed="false">
      <c r="A9" s="1" t="s">
        <v>81</v>
      </c>
      <c r="B9" s="1" t="n">
        <v>0</v>
      </c>
      <c r="C9" s="1" t="n">
        <v>27</v>
      </c>
      <c r="D9" s="1" t="n">
        <v>28</v>
      </c>
      <c r="E9" s="1" t="n">
        <v>5</v>
      </c>
      <c r="F9" s="1" t="n">
        <v>60</v>
      </c>
    </row>
    <row r="10" customFormat="false" ht="15" hidden="false" customHeight="true" outlineLevel="0" collapsed="false">
      <c r="A10" s="1" t="s">
        <v>82</v>
      </c>
      <c r="B10" s="1" t="n">
        <v>1</v>
      </c>
      <c r="C10" s="1" t="n">
        <v>32</v>
      </c>
      <c r="D10" s="1" t="n">
        <v>21</v>
      </c>
      <c r="E10" s="1" t="n">
        <v>6</v>
      </c>
      <c r="F10" s="1" t="n">
        <v>60</v>
      </c>
    </row>
    <row r="11" customFormat="false" ht="15" hidden="false" customHeight="true" outlineLevel="0" collapsed="false">
      <c r="A11" s="1" t="s">
        <v>83</v>
      </c>
      <c r="B11" s="1" t="n">
        <v>14</v>
      </c>
      <c r="C11" s="1" t="n">
        <v>21</v>
      </c>
      <c r="D11" s="1" t="n">
        <v>20</v>
      </c>
      <c r="E11" s="1" t="n">
        <v>5</v>
      </c>
      <c r="F11" s="1" t="n">
        <v>60</v>
      </c>
    </row>
    <row r="12" customFormat="false" ht="15" hidden="false" customHeight="true" outlineLevel="0" collapsed="false">
      <c r="A12" s="1" t="s">
        <v>84</v>
      </c>
      <c r="B12" s="1" t="n">
        <v>28</v>
      </c>
      <c r="C12" s="1" t="n">
        <v>26</v>
      </c>
      <c r="D12" s="1" t="n">
        <v>5</v>
      </c>
      <c r="E12" s="1" t="n">
        <v>1</v>
      </c>
      <c r="F12" s="1" t="n">
        <v>60</v>
      </c>
    </row>
    <row r="14" customFormat="false" ht="15" hidden="false" customHeight="true" outlineLevel="0" collapsed="false">
      <c r="A14" s="1" t="s">
        <v>957</v>
      </c>
    </row>
    <row r="15" customFormat="false" ht="15" hidden="false" customHeight="true" outlineLevel="0" collapsed="false">
      <c r="A15" s="1" t="s">
        <v>958</v>
      </c>
      <c r="B15" s="1" t="s">
        <v>959</v>
      </c>
      <c r="C15" s="1" t="s">
        <v>960</v>
      </c>
    </row>
    <row r="16" customFormat="false" ht="15" hidden="false" customHeight="true" outlineLevel="0" collapsed="false">
      <c r="A16" s="1" t="s">
        <v>123</v>
      </c>
      <c r="B16" s="1" t="n">
        <v>26</v>
      </c>
      <c r="C16" s="1" t="s">
        <v>961</v>
      </c>
    </row>
    <row r="17" customFormat="false" ht="15" hidden="false" customHeight="true" outlineLevel="0" collapsed="false">
      <c r="A17" s="1" t="s">
        <v>249</v>
      </c>
      <c r="B17" s="1" t="n">
        <v>13</v>
      </c>
      <c r="C17" s="1" t="s">
        <v>962</v>
      </c>
    </row>
    <row r="18" customFormat="false" ht="15" hidden="false" customHeight="true" outlineLevel="0" collapsed="false">
      <c r="A18" s="1" t="s">
        <v>139</v>
      </c>
      <c r="B18" s="1" t="n">
        <v>9</v>
      </c>
      <c r="C18" s="1" t="s">
        <v>963</v>
      </c>
    </row>
    <row r="19" customFormat="false" ht="15" hidden="false" customHeight="true" outlineLevel="0" collapsed="false">
      <c r="A19" s="1" t="s">
        <v>155</v>
      </c>
      <c r="B19" s="1" t="n">
        <v>8</v>
      </c>
      <c r="C19" s="1" t="s">
        <v>964</v>
      </c>
    </row>
    <row r="20" customFormat="false" ht="15" hidden="false" customHeight="true" outlineLevel="0" collapsed="false">
      <c r="A20" s="1" t="s">
        <v>200</v>
      </c>
      <c r="B20" s="1" t="n">
        <v>2</v>
      </c>
      <c r="C20" s="1" t="s">
        <v>965</v>
      </c>
    </row>
    <row r="21" customFormat="false" ht="15" hidden="false" customHeight="true" outlineLevel="0" collapsed="false">
      <c r="A21" s="1" t="s">
        <v>103</v>
      </c>
      <c r="B21" s="1" t="n">
        <v>1</v>
      </c>
      <c r="C21" s="1" t="s">
        <v>966</v>
      </c>
    </row>
    <row r="22" customFormat="false" ht="15" hidden="false" customHeight="true" outlineLevel="0" collapsed="false">
      <c r="A22" s="1" t="s">
        <v>232</v>
      </c>
      <c r="B22" s="1" t="n">
        <v>1</v>
      </c>
      <c r="C22" s="1" t="s">
        <v>966</v>
      </c>
    </row>
    <row r="23" customFormat="false" ht="15" hidden="false" customHeight="true" outlineLevel="0" collapsed="false">
      <c r="A23" s="1" t="s">
        <v>85</v>
      </c>
      <c r="B23" s="1" t="n">
        <v>60</v>
      </c>
      <c r="C23" s="1" t="s">
        <v>967</v>
      </c>
    </row>
    <row r="25" customFormat="false" ht="15" hidden="false" customHeight="true" outlineLevel="0" collapsed="false">
      <c r="A25" s="1" t="s">
        <v>968</v>
      </c>
    </row>
    <row r="26" customFormat="false" ht="15" hidden="false" customHeight="true" outlineLevel="0" collapsed="false">
      <c r="A26" s="1" t="s">
        <v>96</v>
      </c>
      <c r="B26" s="1" t="s">
        <v>959</v>
      </c>
      <c r="C26" s="1" t="s">
        <v>960</v>
      </c>
      <c r="D26" s="1" t="s">
        <v>969</v>
      </c>
    </row>
    <row r="27" customFormat="false" ht="15" hidden="false" customHeight="true" outlineLevel="0" collapsed="false">
      <c r="A27" s="1" t="s">
        <v>105</v>
      </c>
      <c r="B27" s="1" t="n">
        <v>43</v>
      </c>
      <c r="C27" s="1" t="s">
        <v>970</v>
      </c>
      <c r="D27" s="1" t="s">
        <v>971</v>
      </c>
    </row>
    <row r="28" customFormat="false" ht="15" hidden="false" customHeight="true" outlineLevel="0" collapsed="false">
      <c r="A28" s="1" t="s">
        <v>543</v>
      </c>
      <c r="B28" s="1" t="n">
        <v>7</v>
      </c>
      <c r="C28" s="1" t="s">
        <v>972</v>
      </c>
      <c r="D28" s="1" t="s">
        <v>973</v>
      </c>
    </row>
    <row r="29" customFormat="false" ht="15" hidden="false" customHeight="true" outlineLevel="0" collapsed="false">
      <c r="A29" s="1" t="s">
        <v>530</v>
      </c>
      <c r="B29" s="1" t="n">
        <v>4</v>
      </c>
      <c r="C29" s="1" t="s">
        <v>974</v>
      </c>
      <c r="D29" s="1" t="s">
        <v>973</v>
      </c>
    </row>
    <row r="30" customFormat="false" ht="15" hidden="false" customHeight="true" outlineLevel="0" collapsed="false">
      <c r="A30" s="1" t="s">
        <v>453</v>
      </c>
      <c r="B30" s="1" t="n">
        <v>3</v>
      </c>
      <c r="C30" s="1" t="s">
        <v>975</v>
      </c>
    </row>
    <row r="31" customFormat="false" ht="15" hidden="false" customHeight="true" outlineLevel="0" collapsed="false">
      <c r="A31" s="1" t="s">
        <v>201</v>
      </c>
      <c r="B31" s="1" t="n">
        <v>2</v>
      </c>
      <c r="C31" s="1" t="s">
        <v>965</v>
      </c>
    </row>
    <row r="32" customFormat="false" ht="15" hidden="false" customHeight="true" outlineLevel="0" collapsed="false">
      <c r="A32" s="1" t="s">
        <v>233</v>
      </c>
      <c r="B32" s="1" t="n">
        <v>1</v>
      </c>
      <c r="C32" s="1" t="s">
        <v>966</v>
      </c>
    </row>
    <row r="33" customFormat="false" ht="15" hidden="false" customHeight="true" outlineLevel="0" collapsed="false">
      <c r="A33" s="1" t="s">
        <v>85</v>
      </c>
      <c r="B33" s="1" t="n">
        <v>60</v>
      </c>
      <c r="C33" s="1" t="s">
        <v>967</v>
      </c>
    </row>
    <row r="35" customFormat="false" ht="15" hidden="false" customHeight="true" outlineLevel="0" collapsed="false">
      <c r="A35" s="1" t="s">
        <v>976</v>
      </c>
    </row>
    <row r="36" customFormat="false" ht="15" hidden="false" customHeight="true" outlineLevel="0" collapsed="false">
      <c r="A36" s="1" t="s">
        <v>977</v>
      </c>
      <c r="B36" s="1" t="s">
        <v>959</v>
      </c>
      <c r="C36" s="1" t="s">
        <v>960</v>
      </c>
      <c r="D36" s="1" t="s">
        <v>978</v>
      </c>
    </row>
    <row r="37" customFormat="false" ht="15" hidden="false" customHeight="true" outlineLevel="0" collapsed="false">
      <c r="A37" s="1" t="s">
        <v>104</v>
      </c>
      <c r="B37" s="1" t="n">
        <v>54</v>
      </c>
      <c r="C37" s="1" t="s">
        <v>979</v>
      </c>
      <c r="D37" s="1" t="s">
        <v>980</v>
      </c>
    </row>
    <row r="38" customFormat="false" ht="15" hidden="false" customHeight="true" outlineLevel="0" collapsed="false">
      <c r="A38" s="1" t="s">
        <v>689</v>
      </c>
      <c r="B38" s="1" t="n">
        <v>6</v>
      </c>
      <c r="C38" s="1" t="s">
        <v>981</v>
      </c>
      <c r="D38" s="1" t="s">
        <v>982</v>
      </c>
    </row>
    <row r="40" customFormat="false" ht="15" hidden="false" customHeight="true" outlineLevel="0" collapsed="false">
      <c r="A40" s="1" t="s">
        <v>983</v>
      </c>
    </row>
    <row r="41" customFormat="false" ht="15" hidden="false" customHeight="true" outlineLevel="0" collapsed="false">
      <c r="A41" s="1" t="s">
        <v>76</v>
      </c>
      <c r="B41" s="1" t="s">
        <v>959</v>
      </c>
      <c r="C41" s="1" t="s">
        <v>960</v>
      </c>
    </row>
    <row r="42" customFormat="false" ht="15" hidden="false" customHeight="true" outlineLevel="0" collapsed="false">
      <c r="A42" s="1" t="s">
        <v>156</v>
      </c>
      <c r="B42" s="1" t="n">
        <v>8</v>
      </c>
      <c r="C42" s="1" t="s">
        <v>964</v>
      </c>
    </row>
    <row r="43" customFormat="false" ht="15" hidden="false" customHeight="true" outlineLevel="0" collapsed="false">
      <c r="A43" s="1" t="s">
        <v>106</v>
      </c>
      <c r="B43" s="1" t="n">
        <v>5</v>
      </c>
      <c r="C43" s="1" t="s">
        <v>984</v>
      </c>
    </row>
    <row r="44" customFormat="false" ht="15" hidden="false" customHeight="true" outlineLevel="0" collapsed="false">
      <c r="A44" s="1" t="s">
        <v>478</v>
      </c>
      <c r="B44" s="1" t="n">
        <v>4</v>
      </c>
      <c r="C44" s="1" t="s">
        <v>974</v>
      </c>
    </row>
    <row r="45" customFormat="false" ht="15" hidden="false" customHeight="true" outlineLevel="0" collapsed="false">
      <c r="A45" s="1" t="s">
        <v>202</v>
      </c>
      <c r="B45" s="1" t="n">
        <v>3</v>
      </c>
      <c r="C45" s="1" t="s">
        <v>975</v>
      </c>
    </row>
    <row r="46" customFormat="false" ht="15" hidden="false" customHeight="true" outlineLevel="0" collapsed="false">
      <c r="A46" s="1" t="s">
        <v>289</v>
      </c>
      <c r="B46" s="1" t="n">
        <v>3</v>
      </c>
      <c r="C46" s="1" t="s">
        <v>975</v>
      </c>
    </row>
    <row r="47" customFormat="false" ht="15" hidden="false" customHeight="true" outlineLevel="0" collapsed="false">
      <c r="A47" s="1" t="s">
        <v>557</v>
      </c>
      <c r="B47" s="1" t="n">
        <v>3</v>
      </c>
      <c r="C47" s="1" t="s">
        <v>975</v>
      </c>
    </row>
    <row r="48" customFormat="false" ht="15" hidden="false" customHeight="true" outlineLevel="0" collapsed="false">
      <c r="A48" s="1" t="s">
        <v>590</v>
      </c>
      <c r="B48" s="1" t="n">
        <v>2</v>
      </c>
      <c r="C48" s="1" t="s">
        <v>965</v>
      </c>
    </row>
    <row r="49" customFormat="false" ht="15" hidden="false" customHeight="true" outlineLevel="0" collapsed="false">
      <c r="A49" s="1" t="s">
        <v>140</v>
      </c>
      <c r="B49" s="1" t="n">
        <v>2</v>
      </c>
      <c r="C49" s="1" t="s">
        <v>965</v>
      </c>
    </row>
    <row r="50" customFormat="false" ht="15" hidden="false" customHeight="true" outlineLevel="0" collapsed="false">
      <c r="A50" s="1" t="s">
        <v>398</v>
      </c>
      <c r="B50" s="1" t="n">
        <v>2</v>
      </c>
      <c r="C50" s="1" t="s">
        <v>965</v>
      </c>
    </row>
    <row r="51" customFormat="false" ht="15" hidden="false" customHeight="true" outlineLevel="0" collapsed="false">
      <c r="A51" s="1" t="s">
        <v>690</v>
      </c>
      <c r="B51" s="1" t="n">
        <v>2</v>
      </c>
      <c r="C51" s="1" t="s">
        <v>965</v>
      </c>
    </row>
    <row r="52" customFormat="false" ht="15" hidden="false" customHeight="true" outlineLevel="0" collapsed="false">
      <c r="A52" s="1" t="s">
        <v>124</v>
      </c>
      <c r="B52" s="1" t="n">
        <v>1</v>
      </c>
      <c r="C52" s="1" t="s">
        <v>966</v>
      </c>
    </row>
    <row r="53" customFormat="false" ht="15" hidden="false" customHeight="true" outlineLevel="0" collapsed="false">
      <c r="A53" s="1" t="s">
        <v>217</v>
      </c>
      <c r="B53" s="1" t="n">
        <v>1</v>
      </c>
      <c r="C53" s="1" t="s">
        <v>966</v>
      </c>
    </row>
    <row r="54" customFormat="false" ht="15" hidden="false" customHeight="true" outlineLevel="0" collapsed="false">
      <c r="A54" s="1" t="s">
        <v>384</v>
      </c>
      <c r="B54" s="1" t="n">
        <v>1</v>
      </c>
      <c r="C54" s="1" t="s">
        <v>966</v>
      </c>
    </row>
    <row r="55" customFormat="false" ht="15" hidden="false" customHeight="true" outlineLevel="0" collapsed="false">
      <c r="A55" s="1" t="s">
        <v>371</v>
      </c>
      <c r="B55" s="1" t="n">
        <v>1</v>
      </c>
      <c r="C55" s="1" t="s">
        <v>966</v>
      </c>
    </row>
    <row r="56" customFormat="false" ht="15" hidden="false" customHeight="true" outlineLevel="0" collapsed="false">
      <c r="A56" s="1" t="s">
        <v>425</v>
      </c>
      <c r="B56" s="1" t="n">
        <v>1</v>
      </c>
      <c r="C56" s="1" t="s">
        <v>966</v>
      </c>
    </row>
    <row r="57" customFormat="false" ht="15" hidden="false" customHeight="true" outlineLevel="0" collapsed="false">
      <c r="A57" s="1" t="s">
        <v>412</v>
      </c>
      <c r="B57" s="1" t="n">
        <v>1</v>
      </c>
      <c r="C57" s="1" t="s">
        <v>966</v>
      </c>
    </row>
    <row r="58" customFormat="false" ht="15" hidden="false" customHeight="true" outlineLevel="0" collapsed="false">
      <c r="A58" s="1" t="s">
        <v>439</v>
      </c>
      <c r="B58" s="1" t="n">
        <v>1</v>
      </c>
      <c r="C58" s="1" t="s">
        <v>966</v>
      </c>
    </row>
    <row r="59" customFormat="false" ht="15" hidden="false" customHeight="true" outlineLevel="0" collapsed="false">
      <c r="A59" s="1" t="s">
        <v>234</v>
      </c>
      <c r="B59" s="1" t="n">
        <v>1</v>
      </c>
      <c r="C59" s="1" t="s">
        <v>966</v>
      </c>
    </row>
    <row r="60" customFormat="false" ht="15" hidden="false" customHeight="true" outlineLevel="0" collapsed="false">
      <c r="A60" s="1" t="s">
        <v>185</v>
      </c>
      <c r="B60" s="1" t="n">
        <v>1</v>
      </c>
      <c r="C60" s="1" t="s">
        <v>966</v>
      </c>
    </row>
    <row r="61" customFormat="false" ht="15" hidden="false" customHeight="true" outlineLevel="0" collapsed="false">
      <c r="A61" s="1" t="s">
        <v>170</v>
      </c>
      <c r="B61" s="1" t="n">
        <v>1</v>
      </c>
      <c r="C61" s="1" t="s">
        <v>966</v>
      </c>
    </row>
    <row r="62" customFormat="false" ht="15" hidden="false" customHeight="true" outlineLevel="0" collapsed="false">
      <c r="A62" s="1" t="s">
        <v>489</v>
      </c>
      <c r="B62" s="1" t="n">
        <v>1</v>
      </c>
      <c r="C62" s="1" t="s">
        <v>966</v>
      </c>
    </row>
    <row r="63" customFormat="false" ht="15" hidden="false" customHeight="true" outlineLevel="0" collapsed="false">
      <c r="A63" s="1" t="s">
        <v>466</v>
      </c>
      <c r="B63" s="1" t="n">
        <v>1</v>
      </c>
      <c r="C63" s="1" t="s">
        <v>966</v>
      </c>
    </row>
    <row r="64" customFormat="false" ht="15" hidden="false" customHeight="true" outlineLevel="0" collapsed="false">
      <c r="A64" s="1" t="s">
        <v>454</v>
      </c>
      <c r="B64" s="1" t="n">
        <v>1</v>
      </c>
      <c r="C64" s="1" t="s">
        <v>966</v>
      </c>
    </row>
    <row r="65" customFormat="false" ht="15" hidden="false" customHeight="true" outlineLevel="0" collapsed="false">
      <c r="A65" s="1" t="s">
        <v>625</v>
      </c>
      <c r="B65" s="1" t="n">
        <v>1</v>
      </c>
      <c r="C65" s="1" t="s">
        <v>966</v>
      </c>
    </row>
    <row r="66" customFormat="false" ht="15" hidden="false" customHeight="true" outlineLevel="0" collapsed="false">
      <c r="A66" s="1" t="s">
        <v>650</v>
      </c>
      <c r="B66" s="1" t="n">
        <v>1</v>
      </c>
      <c r="C66" s="1" t="s">
        <v>966</v>
      </c>
    </row>
    <row r="67" customFormat="false" ht="15" hidden="false" customHeight="true" outlineLevel="0" collapsed="false">
      <c r="A67" s="1" t="s">
        <v>663</v>
      </c>
      <c r="B67" s="1" t="n">
        <v>1</v>
      </c>
      <c r="C67" s="1" t="s">
        <v>966</v>
      </c>
    </row>
    <row r="68" customFormat="false" ht="15" hidden="false" customHeight="true" outlineLevel="0" collapsed="false">
      <c r="A68" s="1" t="s">
        <v>677</v>
      </c>
      <c r="B68" s="1" t="n">
        <v>1</v>
      </c>
      <c r="C68" s="1" t="s">
        <v>966</v>
      </c>
    </row>
    <row r="69" customFormat="false" ht="15" hidden="false" customHeight="true" outlineLevel="0" collapsed="false">
      <c r="A69" s="1" t="s">
        <v>717</v>
      </c>
      <c r="B69" s="1" t="n">
        <v>1</v>
      </c>
      <c r="C69" s="1" t="s">
        <v>966</v>
      </c>
    </row>
    <row r="70" customFormat="false" ht="15" hidden="false" customHeight="true" outlineLevel="0" collapsed="false">
      <c r="A70" s="1" t="s">
        <v>731</v>
      </c>
      <c r="B70" s="1" t="n">
        <v>1</v>
      </c>
      <c r="C70" s="1" t="s">
        <v>966</v>
      </c>
    </row>
    <row r="71" customFormat="false" ht="15" hidden="false" customHeight="true" outlineLevel="0" collapsed="false">
      <c r="A71" s="1" t="s">
        <v>744</v>
      </c>
      <c r="B71" s="1" t="n">
        <v>1</v>
      </c>
      <c r="C71" s="1" t="s">
        <v>966</v>
      </c>
    </row>
    <row r="72" customFormat="false" ht="15" hidden="false" customHeight="true" outlineLevel="0" collapsed="false">
      <c r="A72" s="1" t="s">
        <v>766</v>
      </c>
      <c r="B72" s="1" t="n">
        <v>1</v>
      </c>
      <c r="C72" s="1" t="s">
        <v>966</v>
      </c>
    </row>
    <row r="73" customFormat="false" ht="15" hidden="false" customHeight="true" outlineLevel="0" collapsed="false">
      <c r="A73" s="1" t="s">
        <v>778</v>
      </c>
      <c r="B73" s="1" t="n">
        <v>1</v>
      </c>
      <c r="C73" s="1" t="s">
        <v>966</v>
      </c>
    </row>
    <row r="74" customFormat="false" ht="15" hidden="false" customHeight="true" outlineLevel="0" collapsed="false">
      <c r="A74" s="1" t="s">
        <v>804</v>
      </c>
      <c r="B74" s="1" t="n">
        <v>1</v>
      </c>
      <c r="C74" s="1" t="s">
        <v>966</v>
      </c>
    </row>
    <row r="75" customFormat="false" ht="15" hidden="false" customHeight="true" outlineLevel="0" collapsed="false">
      <c r="A75" s="1" t="s">
        <v>815</v>
      </c>
      <c r="B75" s="1" t="n">
        <v>1</v>
      </c>
      <c r="C75" s="1" t="s">
        <v>966</v>
      </c>
    </row>
    <row r="76" customFormat="false" ht="15" hidden="false" customHeight="true" outlineLevel="0" collapsed="false">
      <c r="A76" s="1" t="s">
        <v>827</v>
      </c>
      <c r="B76" s="1" t="n">
        <v>1</v>
      </c>
      <c r="C76" s="1" t="s">
        <v>966</v>
      </c>
    </row>
    <row r="77" customFormat="false" ht="15" hidden="false" customHeight="true" outlineLevel="0" collapsed="false">
      <c r="A77" s="1" t="s">
        <v>857</v>
      </c>
      <c r="B77" s="1" t="n">
        <v>1</v>
      </c>
      <c r="C77" s="1" t="s">
        <v>966</v>
      </c>
    </row>
    <row r="79" customFormat="false" ht="15" hidden="false" customHeight="true" outlineLevel="0" collapsed="false">
      <c r="A79" s="1" t="s">
        <v>985</v>
      </c>
    </row>
    <row r="80" customFormat="false" ht="15" hidden="false" customHeight="true" outlineLevel="0" collapsed="false">
      <c r="A80" s="1" t="s">
        <v>71</v>
      </c>
      <c r="B80" s="1" t="s">
        <v>959</v>
      </c>
      <c r="C80" s="1" t="s">
        <v>960</v>
      </c>
    </row>
    <row r="81" customFormat="false" ht="15" hidden="false" customHeight="true" outlineLevel="0" collapsed="false">
      <c r="A81" s="1" t="s">
        <v>154</v>
      </c>
      <c r="B81" s="1" t="n">
        <v>1</v>
      </c>
      <c r="C81" s="1" t="s">
        <v>966</v>
      </c>
    </row>
    <row r="82" customFormat="false" ht="15" hidden="false" customHeight="true" outlineLevel="0" collapsed="false">
      <c r="A82" s="1" t="s">
        <v>248</v>
      </c>
      <c r="B82" s="1" t="n">
        <v>1</v>
      </c>
      <c r="C82" s="1" t="s">
        <v>966</v>
      </c>
    </row>
    <row r="83" customFormat="false" ht="15" hidden="false" customHeight="true" outlineLevel="0" collapsed="false">
      <c r="A83" s="1" t="s">
        <v>556</v>
      </c>
      <c r="B83" s="1" t="n">
        <v>1</v>
      </c>
      <c r="C83" s="1" t="s">
        <v>966</v>
      </c>
    </row>
    <row r="84" customFormat="false" ht="15" hidden="false" customHeight="true" outlineLevel="0" collapsed="false">
      <c r="A84" s="1" t="s">
        <v>184</v>
      </c>
      <c r="B84" s="1" t="n">
        <v>1</v>
      </c>
      <c r="C84" s="1" t="s">
        <v>966</v>
      </c>
    </row>
    <row r="85" customFormat="false" ht="15" hidden="false" customHeight="true" outlineLevel="0" collapsed="false">
      <c r="A85" s="1" t="s">
        <v>216</v>
      </c>
      <c r="B85" s="1" t="n">
        <v>1</v>
      </c>
      <c r="C85" s="1" t="s">
        <v>966</v>
      </c>
    </row>
    <row r="86" customFormat="false" ht="15" hidden="false" customHeight="true" outlineLevel="0" collapsed="false">
      <c r="A86" s="1" t="s">
        <v>122</v>
      </c>
      <c r="B86" s="1" t="n">
        <v>3</v>
      </c>
      <c r="C86" s="1" t="s">
        <v>975</v>
      </c>
    </row>
    <row r="87" customFormat="false" ht="15" hidden="false" customHeight="true" outlineLevel="0" collapsed="false">
      <c r="A87" s="1" t="s">
        <v>138</v>
      </c>
      <c r="B87" s="1" t="n">
        <v>1</v>
      </c>
      <c r="C87" s="1" t="s">
        <v>966</v>
      </c>
    </row>
    <row r="88" customFormat="false" ht="15" hidden="false" customHeight="true" outlineLevel="0" collapsed="false">
      <c r="A88" s="1" t="s">
        <v>288</v>
      </c>
      <c r="B88" s="1" t="n">
        <v>2</v>
      </c>
      <c r="C88" s="1" t="s">
        <v>965</v>
      </c>
    </row>
    <row r="89" customFormat="false" ht="15" hidden="false" customHeight="true" outlineLevel="0" collapsed="false">
      <c r="A89" s="1" t="s">
        <v>102</v>
      </c>
      <c r="B89" s="1" t="n">
        <v>1</v>
      </c>
      <c r="C89" s="1" t="s">
        <v>966</v>
      </c>
    </row>
    <row r="90" customFormat="false" ht="15" hidden="false" customHeight="true" outlineLevel="0" collapsed="false">
      <c r="A90" s="1" t="s">
        <v>612</v>
      </c>
      <c r="B90" s="1" t="n">
        <v>2</v>
      </c>
      <c r="C90" s="1" t="s">
        <v>965</v>
      </c>
    </row>
    <row r="91" customFormat="false" ht="15" hidden="false" customHeight="true" outlineLevel="0" collapsed="false">
      <c r="A91" s="1" t="s">
        <v>274</v>
      </c>
      <c r="B91" s="1" t="n">
        <v>4</v>
      </c>
      <c r="C91" s="1" t="s">
        <v>974</v>
      </c>
    </row>
    <row r="92" customFormat="false" ht="15" hidden="false" customHeight="true" outlineLevel="0" collapsed="false">
      <c r="A92" s="1" t="s">
        <v>370</v>
      </c>
      <c r="B92" s="1" t="n">
        <v>3</v>
      </c>
      <c r="C92" s="1" t="s">
        <v>975</v>
      </c>
    </row>
    <row r="93" customFormat="false" ht="15" hidden="false" customHeight="true" outlineLevel="0" collapsed="false">
      <c r="A93" s="1" t="s">
        <v>199</v>
      </c>
      <c r="B93" s="1" t="n">
        <v>3</v>
      </c>
      <c r="C93" s="1" t="s">
        <v>975</v>
      </c>
    </row>
    <row r="94" customFormat="false" ht="15" hidden="false" customHeight="true" outlineLevel="0" collapsed="false">
      <c r="A94" s="1" t="s">
        <v>397</v>
      </c>
      <c r="B94" s="1" t="n">
        <v>1</v>
      </c>
      <c r="C94" s="1" t="s">
        <v>966</v>
      </c>
    </row>
    <row r="95" customFormat="false" ht="15" hidden="false" customHeight="true" outlineLevel="0" collapsed="false">
      <c r="A95" s="1" t="s">
        <v>756</v>
      </c>
      <c r="B95" s="1" t="n">
        <v>1</v>
      </c>
      <c r="C95" s="1" t="s">
        <v>966</v>
      </c>
    </row>
    <row r="96" customFormat="false" ht="15" hidden="false" customHeight="true" outlineLevel="0" collapsed="false">
      <c r="A96" s="1" t="s">
        <v>231</v>
      </c>
      <c r="B96" s="1" t="n">
        <v>5</v>
      </c>
      <c r="C96" s="1" t="s">
        <v>984</v>
      </c>
    </row>
    <row r="97" customFormat="false" ht="15" hidden="false" customHeight="true" outlineLevel="0" collapsed="false">
      <c r="A97" s="1" t="s">
        <v>300</v>
      </c>
      <c r="B97" s="1" t="n">
        <v>3</v>
      </c>
      <c r="C97" s="1" t="s">
        <v>975</v>
      </c>
    </row>
    <row r="98" customFormat="false" ht="15" hidden="false" customHeight="true" outlineLevel="0" collapsed="false">
      <c r="A98" s="1" t="s">
        <v>438</v>
      </c>
      <c r="B98" s="1" t="n">
        <v>4</v>
      </c>
      <c r="C98" s="1" t="s">
        <v>974</v>
      </c>
    </row>
    <row r="99" customFormat="false" ht="15" hidden="false" customHeight="true" outlineLevel="0" collapsed="false">
      <c r="A99" s="1" t="s">
        <v>322</v>
      </c>
      <c r="B99" s="1" t="n">
        <v>4</v>
      </c>
      <c r="C99" s="1" t="s">
        <v>974</v>
      </c>
    </row>
    <row r="100" customFormat="false" ht="15" hidden="false" customHeight="true" outlineLevel="0" collapsed="false">
      <c r="A100" s="1" t="s">
        <v>356</v>
      </c>
      <c r="B100" s="1" t="n">
        <v>5</v>
      </c>
      <c r="C100" s="1" t="s">
        <v>984</v>
      </c>
    </row>
    <row r="101" customFormat="false" ht="15" hidden="false" customHeight="true" outlineLevel="0" collapsed="false">
      <c r="A101" s="1" t="s">
        <v>503</v>
      </c>
      <c r="B101" s="1" t="n">
        <v>1</v>
      </c>
      <c r="C101" s="1" t="s">
        <v>966</v>
      </c>
    </row>
    <row r="102" customFormat="false" ht="15" hidden="false" customHeight="true" outlineLevel="0" collapsed="false">
      <c r="A102" s="1" t="s">
        <v>516</v>
      </c>
      <c r="B102" s="1" t="n">
        <v>2</v>
      </c>
      <c r="C102" s="1" t="s">
        <v>965</v>
      </c>
    </row>
    <row r="103" customFormat="false" ht="15" hidden="false" customHeight="true" outlineLevel="0" collapsed="false">
      <c r="A103" s="1" t="s">
        <v>529</v>
      </c>
      <c r="B103" s="1" t="n">
        <v>4</v>
      </c>
      <c r="C103" s="1" t="s">
        <v>974</v>
      </c>
    </row>
    <row r="104" customFormat="false" ht="15" hidden="false" customHeight="true" outlineLevel="0" collapsed="false">
      <c r="A104" s="1" t="s">
        <v>542</v>
      </c>
      <c r="B104" s="1" t="n">
        <v>6</v>
      </c>
      <c r="C104" s="1" t="s">
        <v>981</v>
      </c>
    </row>
    <row r="106" customFormat="false" ht="15" hidden="false" customHeight="true" outlineLevel="0" collapsed="false">
      <c r="A106" s="1" t="s">
        <v>986</v>
      </c>
    </row>
    <row r="107" customFormat="false" ht="15" hidden="false" customHeight="true" outlineLevel="0" collapsed="false">
      <c r="A107" s="1" t="s">
        <v>877</v>
      </c>
      <c r="B107" s="1" t="s">
        <v>987</v>
      </c>
      <c r="C107" s="1" t="s">
        <v>960</v>
      </c>
    </row>
    <row r="108" customFormat="false" ht="15" hidden="false" customHeight="true" outlineLevel="0" collapsed="false">
      <c r="A108" s="1" t="s">
        <v>78</v>
      </c>
      <c r="B108" s="1" t="n">
        <v>22</v>
      </c>
      <c r="C108" s="1" t="s">
        <v>988</v>
      </c>
    </row>
    <row r="109" customFormat="false" ht="15" hidden="false" customHeight="true" outlineLevel="0" collapsed="false">
      <c r="A109" s="1" t="s">
        <v>79</v>
      </c>
      <c r="B109" s="1" t="n">
        <v>11</v>
      </c>
      <c r="C109" s="1" t="s">
        <v>989</v>
      </c>
    </row>
    <row r="110" customFormat="false" ht="15" hidden="false" customHeight="true" outlineLevel="0" collapsed="false">
      <c r="A110" s="1" t="s">
        <v>80</v>
      </c>
      <c r="B110" s="1" t="n">
        <v>31</v>
      </c>
      <c r="C110" s="1" t="s">
        <v>990</v>
      </c>
    </row>
    <row r="111" customFormat="false" ht="15" hidden="false" customHeight="true" outlineLevel="0" collapsed="false">
      <c r="A111" s="1" t="s">
        <v>81</v>
      </c>
      <c r="B111" s="1" t="n">
        <v>33</v>
      </c>
      <c r="C111" s="1" t="s">
        <v>991</v>
      </c>
    </row>
    <row r="112" customFormat="false" ht="15" hidden="false" customHeight="true" outlineLevel="0" collapsed="false">
      <c r="A112" s="1" t="s">
        <v>82</v>
      </c>
      <c r="B112" s="1" t="n">
        <v>27</v>
      </c>
      <c r="C112" s="1" t="s">
        <v>992</v>
      </c>
    </row>
    <row r="113" customFormat="false" ht="15" hidden="false" customHeight="true" outlineLevel="0" collapsed="false">
      <c r="A113" s="1" t="s">
        <v>83</v>
      </c>
      <c r="B113" s="1" t="n">
        <v>25</v>
      </c>
      <c r="C113" s="1" t="s">
        <v>993</v>
      </c>
    </row>
    <row r="114" customFormat="false" ht="15" hidden="false" customHeight="true" outlineLevel="0" collapsed="false">
      <c r="A114" s="1" t="s">
        <v>84</v>
      </c>
      <c r="B114" s="1" t="n">
        <v>6</v>
      </c>
      <c r="C114" s="1" t="s">
        <v>981</v>
      </c>
    </row>
    <row r="116" customFormat="false" ht="15" hidden="false" customHeight="true" outlineLevel="0" collapsed="false">
      <c r="A116" s="1" t="s">
        <v>994</v>
      </c>
    </row>
    <row r="117" customFormat="false" ht="15" hidden="false" customHeight="true" outlineLevel="0" collapsed="false">
      <c r="A117" s="1" t="s">
        <v>995</v>
      </c>
      <c r="B117" s="1" t="s">
        <v>959</v>
      </c>
      <c r="C117" s="1" t="s">
        <v>960</v>
      </c>
    </row>
    <row r="118" customFormat="false" ht="15" hidden="false" customHeight="true" outlineLevel="0" collapsed="false">
      <c r="A118" s="1" t="s">
        <v>996</v>
      </c>
      <c r="B118" s="1" t="n">
        <v>0</v>
      </c>
      <c r="C118" s="1" t="s">
        <v>997</v>
      </c>
    </row>
    <row r="119" customFormat="false" ht="15" hidden="false" customHeight="true" outlineLevel="0" collapsed="false">
      <c r="A119" s="1" t="s">
        <v>998</v>
      </c>
      <c r="B119" s="1" t="n">
        <v>29</v>
      </c>
      <c r="C119" s="1" t="s">
        <v>999</v>
      </c>
    </row>
    <row r="121" customFormat="false" ht="15" hidden="false" customHeight="true" outlineLevel="0" collapsed="false">
      <c r="A121" s="1" t="s">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1001</v>
      </c>
    </row>
    <row r="2" customFormat="false" ht="15" hidden="false" customHeight="true" outlineLevel="0" collapsed="false">
      <c r="A2" s="1" t="s">
        <v>1002</v>
      </c>
    </row>
    <row r="4" customFormat="false" ht="15" hidden="false" customHeight="true" outlineLevel="0" collapsed="false">
      <c r="A4" s="1" t="s">
        <v>1003</v>
      </c>
    </row>
    <row r="6" customFormat="false" ht="15" hidden="false" customHeight="true" outlineLevel="0" collapsed="false">
      <c r="A6" s="1" t="s">
        <v>1004</v>
      </c>
      <c r="B6" s="1" t="s">
        <v>1005</v>
      </c>
      <c r="C6" s="1" t="s">
        <v>1006</v>
      </c>
      <c r="D6" s="1" t="s">
        <v>1007</v>
      </c>
      <c r="E6" s="1" t="s">
        <v>1008</v>
      </c>
    </row>
    <row r="7" customFormat="false" ht="15" hidden="false" customHeight="true" outlineLevel="0" collapsed="false">
      <c r="A7" s="1" t="s">
        <v>1009</v>
      </c>
      <c r="B7" s="1" t="s">
        <v>1010</v>
      </c>
      <c r="C7" s="1" t="s">
        <v>1011</v>
      </c>
      <c r="D7" s="1" t="s">
        <v>1012</v>
      </c>
      <c r="E7" s="1" t="s">
        <v>1013</v>
      </c>
    </row>
    <row r="8" customFormat="false" ht="15" hidden="false" customHeight="true" outlineLevel="0" collapsed="false">
      <c r="A8" s="1" t="s">
        <v>1014</v>
      </c>
      <c r="B8" s="1" t="s">
        <v>1015</v>
      </c>
      <c r="C8" s="1" t="s">
        <v>1016</v>
      </c>
      <c r="D8" s="1" t="s">
        <v>1017</v>
      </c>
      <c r="E8" s="1" t="s">
        <v>1018</v>
      </c>
    </row>
    <row r="9" customFormat="false" ht="15" hidden="false" customHeight="true" outlineLevel="0" collapsed="false">
      <c r="A9" s="1" t="s">
        <v>1019</v>
      </c>
      <c r="B9" s="1" t="s">
        <v>1020</v>
      </c>
      <c r="C9" s="1" t="s">
        <v>1021</v>
      </c>
      <c r="D9" s="1" t="s">
        <v>1022</v>
      </c>
      <c r="E9" s="1" t="s">
        <v>1023</v>
      </c>
    </row>
    <row r="11" customFormat="false" ht="15" hidden="false" customHeight="true" outlineLevel="0" collapsed="false">
      <c r="A11" s="1" t="s">
        <v>1024</v>
      </c>
    </row>
    <row r="13" customFormat="false" ht="15" hidden="false" customHeight="true" outlineLevel="0" collapsed="false">
      <c r="A13" s="1" t="s">
        <v>1004</v>
      </c>
      <c r="B13" s="1" t="s">
        <v>1005</v>
      </c>
      <c r="C13" s="1" t="s">
        <v>1006</v>
      </c>
      <c r="D13" s="1" t="s">
        <v>1007</v>
      </c>
      <c r="E13" s="1" t="s">
        <v>1008</v>
      </c>
    </row>
    <row r="14" customFormat="false" ht="15" hidden="false" customHeight="true" outlineLevel="0" collapsed="false">
      <c r="A14" s="1" t="s">
        <v>1025</v>
      </c>
      <c r="B14" s="1" t="s">
        <v>1026</v>
      </c>
      <c r="C14" s="1" t="s">
        <v>1027</v>
      </c>
      <c r="D14" s="1" t="s">
        <v>1028</v>
      </c>
      <c r="E14" s="1" t="s">
        <v>1029</v>
      </c>
    </row>
    <row r="15" customFormat="false" ht="15" hidden="false" customHeight="true" outlineLevel="0" collapsed="false">
      <c r="A15" s="1" t="s">
        <v>1030</v>
      </c>
      <c r="B15" s="1" t="s">
        <v>1026</v>
      </c>
      <c r="C15" s="1" t="s">
        <v>1031</v>
      </c>
      <c r="D15" s="1" t="s">
        <v>1028</v>
      </c>
      <c r="E15" s="1" t="s">
        <v>1032</v>
      </c>
    </row>
    <row r="16" customFormat="false" ht="15" hidden="false" customHeight="true" outlineLevel="0" collapsed="false">
      <c r="A16" s="1" t="s">
        <v>1033</v>
      </c>
      <c r="B16" s="1" t="s">
        <v>1034</v>
      </c>
      <c r="C16" s="1" t="s">
        <v>1035</v>
      </c>
      <c r="D16" s="1" t="s">
        <v>1036</v>
      </c>
      <c r="E16" s="1" t="s">
        <v>1037</v>
      </c>
    </row>
    <row r="18" customFormat="false" ht="15" hidden="false" customHeight="true" outlineLevel="0" collapsed="false">
      <c r="A18" s="1" t="s">
        <v>1038</v>
      </c>
    </row>
    <row r="20" customFormat="false" ht="15" hidden="false" customHeight="true" outlineLevel="0" collapsed="false">
      <c r="A20" s="1" t="s">
        <v>1004</v>
      </c>
      <c r="B20" s="1" t="s">
        <v>1005</v>
      </c>
      <c r="C20" s="1" t="s">
        <v>1006</v>
      </c>
      <c r="D20" s="1" t="s">
        <v>1007</v>
      </c>
      <c r="E20" s="1" t="s">
        <v>1008</v>
      </c>
    </row>
    <row r="21" customFormat="false" ht="15" hidden="false" customHeight="true" outlineLevel="0" collapsed="false">
      <c r="A21" s="1" t="s">
        <v>1039</v>
      </c>
      <c r="B21" s="1" t="s">
        <v>1040</v>
      </c>
      <c r="C21" s="1" t="s">
        <v>1041</v>
      </c>
      <c r="D21" s="1" t="s">
        <v>1028</v>
      </c>
      <c r="E21" s="1" t="s">
        <v>1042</v>
      </c>
    </row>
    <row r="23" customFormat="false" ht="15" hidden="false" customHeight="true" outlineLevel="0" collapsed="false">
      <c r="A23" s="1" t="s">
        <v>1043</v>
      </c>
    </row>
    <row r="25" customFormat="false" ht="15" hidden="false" customHeight="true" outlineLevel="0" collapsed="false">
      <c r="A25" s="1" t="s">
        <v>1004</v>
      </c>
      <c r="B25" s="1" t="s">
        <v>1005</v>
      </c>
      <c r="C25" s="1" t="s">
        <v>1006</v>
      </c>
      <c r="D25" s="1" t="s">
        <v>1007</v>
      </c>
      <c r="E25" s="1" t="s">
        <v>1008</v>
      </c>
    </row>
    <row r="26" customFormat="false" ht="15" hidden="false" customHeight="true" outlineLevel="0" collapsed="false">
      <c r="A26" s="1" t="s">
        <v>1044</v>
      </c>
      <c r="B26" s="1" t="s">
        <v>1045</v>
      </c>
      <c r="C26" s="1" t="s">
        <v>1046</v>
      </c>
      <c r="D26" s="1" t="s">
        <v>1047</v>
      </c>
      <c r="E26" s="1" t="s">
        <v>1048</v>
      </c>
    </row>
    <row r="28" customFormat="false" ht="15" hidden="false" customHeight="true" outlineLevel="0" collapsed="false">
      <c r="A28" s="1" t="s">
        <v>1049</v>
      </c>
    </row>
    <row r="30" customFormat="false" ht="15" hidden="false" customHeight="true" outlineLevel="0" collapsed="false">
      <c r="A30" s="1" t="s">
        <v>1004</v>
      </c>
      <c r="B30" s="1" t="s">
        <v>1005</v>
      </c>
      <c r="C30" s="1" t="s">
        <v>1006</v>
      </c>
      <c r="D30" s="1" t="s">
        <v>1007</v>
      </c>
      <c r="E30" s="1" t="s">
        <v>1008</v>
      </c>
    </row>
    <row r="31" customFormat="false" ht="15" hidden="false" customHeight="true" outlineLevel="0" collapsed="false">
      <c r="A31" s="1" t="s">
        <v>1050</v>
      </c>
      <c r="B31" s="1" t="s">
        <v>1051</v>
      </c>
      <c r="C31" s="1" t="s">
        <v>1052</v>
      </c>
      <c r="D31" s="1" t="s">
        <v>1028</v>
      </c>
      <c r="E31" s="1" t="s">
        <v>1053</v>
      </c>
    </row>
    <row r="33" customFormat="false" ht="15" hidden="false" customHeight="true" outlineLevel="0" collapsed="false">
      <c r="A33" s="1" t="s">
        <v>1054</v>
      </c>
    </row>
    <row r="35" customFormat="false" ht="15" hidden="false" customHeight="true" outlineLevel="0" collapsed="false">
      <c r="A35" s="1" t="s">
        <v>1055</v>
      </c>
      <c r="B35" s="1" t="s">
        <v>1056</v>
      </c>
      <c r="C35" s="1" t="s">
        <v>1057</v>
      </c>
    </row>
    <row r="36" customFormat="false" ht="15" hidden="false" customHeight="true" outlineLevel="0" collapsed="false">
      <c r="A36" s="1" t="s">
        <v>1058</v>
      </c>
      <c r="B36" s="1" t="s">
        <v>1059</v>
      </c>
      <c r="C36" s="1" t="s">
        <v>1060</v>
      </c>
    </row>
    <row r="37" customFormat="false" ht="15" hidden="false" customHeight="true" outlineLevel="0" collapsed="false">
      <c r="A37" s="1" t="s">
        <v>1061</v>
      </c>
      <c r="B37" s="1" t="s">
        <v>1062</v>
      </c>
      <c r="C37" s="1" t="s">
        <v>1063</v>
      </c>
    </row>
    <row r="38" customFormat="false" ht="15" hidden="false" customHeight="true" outlineLevel="0" collapsed="false">
      <c r="A38" s="1" t="s">
        <v>1064</v>
      </c>
      <c r="B38" s="1" t="s">
        <v>1065</v>
      </c>
      <c r="C38" s="1" t="s">
        <v>1066</v>
      </c>
    </row>
    <row r="39" customFormat="false" ht="15" hidden="false" customHeight="true" outlineLevel="0" collapsed="false">
      <c r="A39" s="1" t="s">
        <v>1067</v>
      </c>
      <c r="B39" s="1" t="s">
        <v>1068</v>
      </c>
      <c r="C39" s="1" t="s">
        <v>1069</v>
      </c>
    </row>
    <row r="40" customFormat="false" ht="15" hidden="false" customHeight="true" outlineLevel="0" collapsed="false">
      <c r="A40" s="1" t="s">
        <v>1070</v>
      </c>
      <c r="B40" s="1" t="s">
        <v>1071</v>
      </c>
      <c r="C40" s="1" t="s">
        <v>1072</v>
      </c>
    </row>
    <row r="42" customFormat="false" ht="15" hidden="false" customHeight="true" outlineLevel="0" collapsed="false">
      <c r="A42" s="1" t="s">
        <v>1073</v>
      </c>
    </row>
    <row r="44" customFormat="false" ht="15" hidden="false" customHeight="true" outlineLevel="0" collapsed="false">
      <c r="A44" s="1" t="s">
        <v>1074</v>
      </c>
    </row>
    <row r="45" customFormat="false" ht="15" hidden="false" customHeight="true" outlineLevel="0" collapsed="false">
      <c r="A45" s="1" t="s">
        <v>1075</v>
      </c>
    </row>
    <row r="46" customFormat="false" ht="15" hidden="false" customHeight="true" outlineLevel="0" collapsed="false">
      <c r="A46" s="1" t="s">
        <v>1076</v>
      </c>
    </row>
    <row r="47" customFormat="false" ht="15" hidden="false" customHeight="true" outlineLevel="0" collapsed="false">
      <c r="A47" s="1" t="s">
        <v>1077</v>
      </c>
    </row>
    <row r="48" customFormat="false" ht="15" hidden="false" customHeight="true" outlineLevel="0" collapsed="false">
      <c r="A48" s="1" t="s">
        <v>1078</v>
      </c>
    </row>
    <row r="49" customFormat="false" ht="15" hidden="false" customHeight="true" outlineLevel="0" collapsed="false">
      <c r="A49" s="1" t="s">
        <v>1079</v>
      </c>
    </row>
    <row r="50" customFormat="false" ht="15" hidden="false" customHeight="true" outlineLevel="0" collapsed="false">
      <c r="A50" s="1" t="s">
        <v>1080</v>
      </c>
    </row>
    <row r="51" customFormat="false" ht="15" hidden="false" customHeight="true" outlineLevel="0" collapsed="false">
      <c r="A51" s="1" t="s">
        <v>1081</v>
      </c>
    </row>
    <row r="53" customFormat="false" ht="15" hidden="false" customHeight="true" outlineLevel="0" collapsed="false">
      <c r="A53" s="1" t="s">
        <v>1082</v>
      </c>
    </row>
    <row r="54" customFormat="false" ht="15" hidden="false" customHeight="true" outlineLevel="0" collapsed="false">
      <c r="A54" s="1" t="s">
        <v>1083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1084</v>
      </c>
    </row>
    <row r="2" customFormat="false" ht="15" hidden="false" customHeight="true" outlineLevel="0" collapsed="false">
      <c r="A2" s="1" t="s">
        <v>1085</v>
      </c>
    </row>
    <row r="4" customFormat="false" ht="15" hidden="false" customHeight="true" outlineLevel="0" collapsed="false">
      <c r="A4" s="1" t="s">
        <v>877</v>
      </c>
      <c r="B4" s="1" t="s">
        <v>1086</v>
      </c>
      <c r="C4" s="1" t="s">
        <v>1087</v>
      </c>
      <c r="D4" s="1" t="s">
        <v>1088</v>
      </c>
      <c r="E4" s="1" t="s">
        <v>1089</v>
      </c>
      <c r="F4" s="1" t="s">
        <v>1090</v>
      </c>
      <c r="G4" s="1" t="s">
        <v>1091</v>
      </c>
    </row>
    <row r="5" customFormat="false" ht="15" hidden="false" customHeight="true" outlineLevel="0" collapsed="false">
      <c r="A5" s="1" t="s">
        <v>883</v>
      </c>
      <c r="B5" s="1" t="n">
        <v>0</v>
      </c>
      <c r="C5" s="1" t="s">
        <v>884</v>
      </c>
      <c r="D5" s="1" t="s">
        <v>1092</v>
      </c>
      <c r="E5" s="1" t="s">
        <v>1093</v>
      </c>
      <c r="F5" s="1" t="s">
        <v>1094</v>
      </c>
      <c r="G5" s="1" t="s">
        <v>888</v>
      </c>
    </row>
    <row r="6" customFormat="false" ht="15" hidden="false" customHeight="true" outlineLevel="0" collapsed="false">
      <c r="A6" s="1" t="s">
        <v>883</v>
      </c>
      <c r="B6" s="1" t="n">
        <v>1</v>
      </c>
      <c r="C6" s="1" t="s">
        <v>885</v>
      </c>
      <c r="D6" s="1" t="s">
        <v>1095</v>
      </c>
      <c r="E6" s="1" t="s">
        <v>1096</v>
      </c>
      <c r="F6" s="1" t="s">
        <v>1097</v>
      </c>
    </row>
    <row r="7" customFormat="false" ht="15" hidden="false" customHeight="true" outlineLevel="0" collapsed="false">
      <c r="A7" s="1" t="s">
        <v>883</v>
      </c>
      <c r="B7" s="1" t="n">
        <v>2</v>
      </c>
      <c r="C7" s="1" t="s">
        <v>886</v>
      </c>
      <c r="D7" s="1" t="s">
        <v>1098</v>
      </c>
      <c r="E7" s="1" t="s">
        <v>1099</v>
      </c>
      <c r="F7" s="1" t="s">
        <v>1100</v>
      </c>
    </row>
    <row r="8" customFormat="false" ht="15" hidden="false" customHeight="true" outlineLevel="0" collapsed="false">
      <c r="A8" s="1" t="s">
        <v>883</v>
      </c>
      <c r="B8" s="1" t="n">
        <v>3</v>
      </c>
      <c r="C8" s="1" t="s">
        <v>887</v>
      </c>
      <c r="D8" s="1" t="s">
        <v>1101</v>
      </c>
      <c r="E8" s="1" t="s">
        <v>1102</v>
      </c>
      <c r="F8" s="1" t="s">
        <v>1103</v>
      </c>
    </row>
    <row r="10" customFormat="false" ht="15" hidden="false" customHeight="true" outlineLevel="0" collapsed="false">
      <c r="A10" s="1" t="s">
        <v>889</v>
      </c>
      <c r="B10" s="1" t="n">
        <v>0</v>
      </c>
      <c r="C10" s="1" t="s">
        <v>890</v>
      </c>
      <c r="D10" s="1" t="s">
        <v>1104</v>
      </c>
      <c r="E10" s="1" t="s">
        <v>1105</v>
      </c>
      <c r="F10" s="1" t="s">
        <v>1106</v>
      </c>
      <c r="G10" s="1" t="s">
        <v>894</v>
      </c>
    </row>
    <row r="11" customFormat="false" ht="15" hidden="false" customHeight="true" outlineLevel="0" collapsed="false">
      <c r="A11" s="1" t="s">
        <v>889</v>
      </c>
      <c r="B11" s="1" t="n">
        <v>1</v>
      </c>
      <c r="C11" s="1" t="s">
        <v>891</v>
      </c>
      <c r="D11" s="1" t="s">
        <v>1107</v>
      </c>
      <c r="E11" s="1" t="s">
        <v>1108</v>
      </c>
      <c r="F11" s="1" t="s">
        <v>1109</v>
      </c>
    </row>
    <row r="12" customFormat="false" ht="15" hidden="false" customHeight="true" outlineLevel="0" collapsed="false">
      <c r="A12" s="1" t="s">
        <v>889</v>
      </c>
      <c r="B12" s="1" t="n">
        <v>2</v>
      </c>
      <c r="C12" s="1" t="s">
        <v>892</v>
      </c>
      <c r="D12" s="1" t="s">
        <v>1110</v>
      </c>
      <c r="E12" s="1" t="s">
        <v>1111</v>
      </c>
      <c r="F12" s="1" t="s">
        <v>1112</v>
      </c>
    </row>
    <row r="13" customFormat="false" ht="15" hidden="false" customHeight="true" outlineLevel="0" collapsed="false">
      <c r="A13" s="1" t="s">
        <v>889</v>
      </c>
      <c r="B13" s="1" t="n">
        <v>3</v>
      </c>
      <c r="C13" s="1" t="s">
        <v>893</v>
      </c>
      <c r="D13" s="1" t="s">
        <v>1113</v>
      </c>
      <c r="E13" s="1" t="s">
        <v>1114</v>
      </c>
      <c r="F13" s="1" t="s">
        <v>1103</v>
      </c>
    </row>
    <row r="15" customFormat="false" ht="15" hidden="false" customHeight="true" outlineLevel="0" collapsed="false">
      <c r="A15" s="1" t="s">
        <v>895</v>
      </c>
      <c r="B15" s="1" t="n">
        <v>0</v>
      </c>
      <c r="C15" s="1" t="s">
        <v>896</v>
      </c>
      <c r="D15" s="1" t="s">
        <v>1115</v>
      </c>
      <c r="E15" s="1" t="s">
        <v>1116</v>
      </c>
      <c r="F15" s="1" t="s">
        <v>1117</v>
      </c>
    </row>
    <row r="16" customFormat="false" ht="15" hidden="false" customHeight="true" outlineLevel="0" collapsed="false">
      <c r="A16" s="1" t="s">
        <v>895</v>
      </c>
      <c r="B16" s="1" t="n">
        <v>1</v>
      </c>
      <c r="C16" s="1" t="s">
        <v>897</v>
      </c>
      <c r="D16" s="1" t="s">
        <v>1118</v>
      </c>
      <c r="E16" s="1" t="s">
        <v>1119</v>
      </c>
      <c r="F16" s="1" t="s">
        <v>1120</v>
      </c>
    </row>
    <row r="17" customFormat="false" ht="15" hidden="false" customHeight="true" outlineLevel="0" collapsed="false">
      <c r="A17" s="1" t="s">
        <v>895</v>
      </c>
      <c r="B17" s="1" t="n">
        <v>2</v>
      </c>
      <c r="C17" s="1" t="s">
        <v>898</v>
      </c>
      <c r="D17" s="1" t="s">
        <v>1121</v>
      </c>
      <c r="E17" s="1" t="s">
        <v>1122</v>
      </c>
      <c r="F17" s="1" t="s">
        <v>1123</v>
      </c>
    </row>
    <row r="18" customFormat="false" ht="15" hidden="false" customHeight="true" outlineLevel="0" collapsed="false">
      <c r="A18" s="1" t="s">
        <v>895</v>
      </c>
      <c r="B18" s="1" t="n">
        <v>3</v>
      </c>
      <c r="C18" s="1" t="s">
        <v>899</v>
      </c>
      <c r="D18" s="1" t="s">
        <v>1124</v>
      </c>
      <c r="E18" s="1" t="s">
        <v>1125</v>
      </c>
      <c r="F18" s="1" t="s">
        <v>1103</v>
      </c>
    </row>
    <row r="20" customFormat="false" ht="15" hidden="false" customHeight="true" outlineLevel="0" collapsed="false">
      <c r="A20" s="1" t="s">
        <v>901</v>
      </c>
      <c r="B20" s="1" t="n">
        <v>0</v>
      </c>
      <c r="C20" s="1" t="s">
        <v>902</v>
      </c>
      <c r="D20" s="1" t="s">
        <v>1126</v>
      </c>
      <c r="E20" s="1" t="s">
        <v>1127</v>
      </c>
      <c r="F20" s="1" t="s">
        <v>1128</v>
      </c>
      <c r="G20" s="1" t="s">
        <v>906</v>
      </c>
    </row>
    <row r="21" customFormat="false" ht="15" hidden="false" customHeight="true" outlineLevel="0" collapsed="false">
      <c r="A21" s="1" t="s">
        <v>901</v>
      </c>
      <c r="B21" s="1" t="n">
        <v>1</v>
      </c>
      <c r="C21" s="1" t="s">
        <v>903</v>
      </c>
      <c r="D21" s="1" t="s">
        <v>1129</v>
      </c>
      <c r="E21" s="1" t="s">
        <v>1130</v>
      </c>
      <c r="F21" s="1" t="s">
        <v>1131</v>
      </c>
    </row>
    <row r="22" customFormat="false" ht="15" hidden="false" customHeight="true" outlineLevel="0" collapsed="false">
      <c r="A22" s="1" t="s">
        <v>901</v>
      </c>
      <c r="B22" s="1" t="n">
        <v>2</v>
      </c>
      <c r="C22" s="1" t="s">
        <v>904</v>
      </c>
      <c r="D22" s="1" t="s">
        <v>1132</v>
      </c>
      <c r="E22" s="1" t="s">
        <v>1133</v>
      </c>
      <c r="F22" s="1" t="s">
        <v>1134</v>
      </c>
    </row>
    <row r="23" customFormat="false" ht="15" hidden="false" customHeight="true" outlineLevel="0" collapsed="false">
      <c r="A23" s="1" t="s">
        <v>901</v>
      </c>
      <c r="B23" s="1" t="n">
        <v>3</v>
      </c>
      <c r="C23" s="1" t="s">
        <v>905</v>
      </c>
      <c r="D23" s="1" t="s">
        <v>1135</v>
      </c>
      <c r="E23" s="1" t="s">
        <v>1136</v>
      </c>
      <c r="F23" s="1" t="s">
        <v>1103</v>
      </c>
    </row>
    <row r="25" customFormat="false" ht="15" hidden="false" customHeight="true" outlineLevel="0" collapsed="false">
      <c r="A25" s="1" t="s">
        <v>907</v>
      </c>
      <c r="B25" s="1" t="n">
        <v>0</v>
      </c>
      <c r="C25" s="1" t="s">
        <v>908</v>
      </c>
      <c r="D25" s="1" t="s">
        <v>1137</v>
      </c>
      <c r="E25" s="1" t="s">
        <v>1138</v>
      </c>
      <c r="F25" s="1" t="s">
        <v>1139</v>
      </c>
    </row>
    <row r="26" customFormat="false" ht="15" hidden="false" customHeight="true" outlineLevel="0" collapsed="false">
      <c r="A26" s="1" t="s">
        <v>907</v>
      </c>
      <c r="B26" s="1" t="n">
        <v>1</v>
      </c>
      <c r="C26" s="1" t="s">
        <v>909</v>
      </c>
      <c r="D26" s="1" t="s">
        <v>1140</v>
      </c>
      <c r="E26" s="1" t="s">
        <v>1141</v>
      </c>
      <c r="F26" s="1" t="s">
        <v>1142</v>
      </c>
    </row>
    <row r="27" customFormat="false" ht="15" hidden="false" customHeight="true" outlineLevel="0" collapsed="false">
      <c r="A27" s="1" t="s">
        <v>907</v>
      </c>
      <c r="B27" s="1" t="n">
        <v>2</v>
      </c>
      <c r="C27" s="1" t="s">
        <v>910</v>
      </c>
      <c r="D27" s="1" t="s">
        <v>1143</v>
      </c>
      <c r="E27" s="1" t="s">
        <v>1144</v>
      </c>
      <c r="F27" s="1" t="s">
        <v>1145</v>
      </c>
    </row>
    <row r="28" customFormat="false" ht="15" hidden="false" customHeight="true" outlineLevel="0" collapsed="false">
      <c r="A28" s="1" t="s">
        <v>907</v>
      </c>
      <c r="B28" s="1" t="n">
        <v>3</v>
      </c>
      <c r="C28" s="1" t="s">
        <v>911</v>
      </c>
      <c r="D28" s="1" t="s">
        <v>1146</v>
      </c>
      <c r="E28" s="1" t="s">
        <v>1147</v>
      </c>
      <c r="F28" s="1" t="s">
        <v>1103</v>
      </c>
    </row>
    <row r="30" customFormat="false" ht="15" hidden="false" customHeight="true" outlineLevel="0" collapsed="false">
      <c r="A30" s="1" t="s">
        <v>912</v>
      </c>
      <c r="B30" s="1" t="n">
        <v>0</v>
      </c>
      <c r="C30" s="1" t="s">
        <v>1148</v>
      </c>
      <c r="D30" s="1" t="s">
        <v>1149</v>
      </c>
      <c r="E30" s="1" t="s">
        <v>1150</v>
      </c>
      <c r="F30" s="1" t="s">
        <v>1151</v>
      </c>
      <c r="G30" s="1" t="s">
        <v>917</v>
      </c>
    </row>
    <row r="31" customFormat="false" ht="15" hidden="false" customHeight="true" outlineLevel="0" collapsed="false">
      <c r="A31" s="1" t="s">
        <v>912</v>
      </c>
      <c r="B31" s="1" t="n">
        <v>1</v>
      </c>
      <c r="C31" s="1" t="s">
        <v>914</v>
      </c>
      <c r="D31" s="1" t="s">
        <v>1152</v>
      </c>
      <c r="E31" s="1" t="s">
        <v>1153</v>
      </c>
      <c r="F31" s="1" t="s">
        <v>1154</v>
      </c>
    </row>
    <row r="32" customFormat="false" ht="15" hidden="false" customHeight="true" outlineLevel="0" collapsed="false">
      <c r="A32" s="1" t="s">
        <v>912</v>
      </c>
      <c r="B32" s="1" t="n">
        <v>2</v>
      </c>
      <c r="C32" s="1" t="s">
        <v>915</v>
      </c>
      <c r="D32" s="1" t="s">
        <v>1155</v>
      </c>
      <c r="E32" s="1" t="s">
        <v>1156</v>
      </c>
      <c r="F32" s="1" t="s">
        <v>1157</v>
      </c>
    </row>
    <row r="33" customFormat="false" ht="15" hidden="false" customHeight="true" outlineLevel="0" collapsed="false">
      <c r="A33" s="1" t="s">
        <v>912</v>
      </c>
      <c r="B33" s="1" t="n">
        <v>3</v>
      </c>
      <c r="C33" s="1" t="s">
        <v>916</v>
      </c>
      <c r="D33" s="1" t="s">
        <v>1158</v>
      </c>
      <c r="E33" s="1" t="s">
        <v>1159</v>
      </c>
      <c r="F33" s="1" t="s">
        <v>1103</v>
      </c>
    </row>
    <row r="35" customFormat="false" ht="15" hidden="false" customHeight="true" outlineLevel="0" collapsed="false">
      <c r="A35" s="1" t="s">
        <v>918</v>
      </c>
      <c r="B35" s="1" t="n">
        <v>0</v>
      </c>
      <c r="C35" s="1" t="s">
        <v>919</v>
      </c>
      <c r="D35" s="1" t="s">
        <v>1160</v>
      </c>
      <c r="E35" s="1" t="s">
        <v>1161</v>
      </c>
      <c r="F35" s="1" t="s">
        <v>1162</v>
      </c>
      <c r="G35" s="1" t="s">
        <v>1163</v>
      </c>
    </row>
    <row r="36" customFormat="false" ht="15" hidden="false" customHeight="true" outlineLevel="0" collapsed="false">
      <c r="A36" s="1" t="s">
        <v>918</v>
      </c>
      <c r="B36" s="1" t="n">
        <v>1</v>
      </c>
      <c r="C36" s="1" t="s">
        <v>920</v>
      </c>
      <c r="D36" s="1" t="s">
        <v>1164</v>
      </c>
      <c r="E36" s="1" t="s">
        <v>1165</v>
      </c>
      <c r="F36" s="1" t="s">
        <v>1166</v>
      </c>
    </row>
    <row r="37" customFormat="false" ht="15" hidden="false" customHeight="true" outlineLevel="0" collapsed="false">
      <c r="A37" s="1" t="s">
        <v>918</v>
      </c>
      <c r="B37" s="1" t="n">
        <v>2</v>
      </c>
      <c r="C37" s="1" t="s">
        <v>1167</v>
      </c>
      <c r="D37" s="1" t="s">
        <v>1168</v>
      </c>
      <c r="E37" s="1" t="s">
        <v>1169</v>
      </c>
      <c r="F37" s="1" t="s">
        <v>1170</v>
      </c>
    </row>
    <row r="38" customFormat="false" ht="15" hidden="false" customHeight="true" outlineLevel="0" collapsed="false">
      <c r="A38" s="1" t="s">
        <v>918</v>
      </c>
      <c r="B38" s="1" t="n">
        <v>3</v>
      </c>
      <c r="C38" s="1" t="s">
        <v>922</v>
      </c>
      <c r="D38" s="1" t="s">
        <v>1171</v>
      </c>
      <c r="E38" s="1" t="s">
        <v>1172</v>
      </c>
      <c r="F38" s="1" t="s">
        <v>1103</v>
      </c>
    </row>
    <row r="40" customFormat="false" ht="15" hidden="false" customHeight="true" outlineLevel="0" collapsed="false">
      <c r="A40" s="1" t="s">
        <v>1173</v>
      </c>
    </row>
    <row r="41" customFormat="false" ht="15" hidden="false" customHeight="true" outlineLevel="0" collapsed="false">
      <c r="A41" s="1" t="s">
        <v>1174</v>
      </c>
    </row>
    <row r="42" customFormat="false" ht="15" hidden="false" customHeight="true" outlineLevel="0" collapsed="false">
      <c r="A42" s="1" t="s">
        <v>1175</v>
      </c>
    </row>
    <row r="43" customFormat="false" ht="15" hidden="false" customHeight="true" outlineLevel="0" collapsed="false">
      <c r="A43" s="1" t="s">
        <v>1176</v>
      </c>
    </row>
    <row r="44" customFormat="false" ht="15" hidden="false" customHeight="true" outlineLevel="0" collapsed="false">
      <c r="A44" s="1" t="s">
        <v>1177</v>
      </c>
    </row>
    <row r="45" customFormat="false" ht="15" hidden="false" customHeight="true" outlineLevel="0" collapsed="false">
      <c r="A45" s="1" t="s">
        <v>1178</v>
      </c>
    </row>
    <row r="46" customFormat="false" ht="15" hidden="false" customHeight="true" outlineLevel="0" collapsed="false">
      <c r="A46" s="1" t="s">
        <v>1179</v>
      </c>
    </row>
    <row r="47" customFormat="false" ht="15" hidden="false" customHeight="true" outlineLevel="0" collapsed="false">
      <c r="A47" s="1" t="s">
        <v>1180</v>
      </c>
    </row>
    <row r="48" customFormat="false" ht="15" hidden="false" customHeight="true" outlineLevel="0" collapsed="false">
      <c r="A48" s="1" t="s">
        <v>1181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1182</v>
      </c>
    </row>
    <row r="2" customFormat="false" ht="15" hidden="false" customHeight="true" outlineLevel="0" collapsed="false">
      <c r="A2" s="1" t="s">
        <v>1183</v>
      </c>
    </row>
    <row r="3" customFormat="false" ht="15" hidden="false" customHeight="true" outlineLevel="0" collapsed="false">
      <c r="A3" s="1" t="s">
        <v>1184</v>
      </c>
    </row>
    <row r="5" customFormat="false" ht="15" hidden="false" customHeight="true" outlineLevel="0" collapsed="false">
      <c r="A5" s="1" t="s">
        <v>1185</v>
      </c>
      <c r="B5" s="1" t="s">
        <v>68</v>
      </c>
      <c r="C5" s="1" t="s">
        <v>1186</v>
      </c>
      <c r="D5" s="1" t="s">
        <v>1187</v>
      </c>
      <c r="E5" s="1" t="s">
        <v>1188</v>
      </c>
      <c r="F5" s="1" t="s">
        <v>1189</v>
      </c>
      <c r="G5" s="1" t="s">
        <v>1190</v>
      </c>
      <c r="H5" s="1" t="s">
        <v>1191</v>
      </c>
      <c r="I5" s="1" t="s">
        <v>1192</v>
      </c>
    </row>
    <row r="6" customFormat="false" ht="15" hidden="false" customHeight="true" outlineLevel="0" collapsed="false">
      <c r="A6" s="1" t="s">
        <v>1193</v>
      </c>
      <c r="B6" s="1" t="s">
        <v>1194</v>
      </c>
      <c r="C6" s="1" t="s">
        <v>1195</v>
      </c>
      <c r="D6" s="1" t="s">
        <v>1196</v>
      </c>
      <c r="E6" s="1" t="s">
        <v>1197</v>
      </c>
      <c r="F6" s="1" t="s">
        <v>1198</v>
      </c>
      <c r="G6" s="1" t="s">
        <v>1199</v>
      </c>
      <c r="H6" s="1" t="s">
        <v>1200</v>
      </c>
      <c r="I6" s="1" t="s">
        <v>1201</v>
      </c>
    </row>
    <row r="7" customFormat="false" ht="15" hidden="false" customHeight="true" outlineLevel="0" collapsed="false">
      <c r="A7" s="1" t="s">
        <v>1193</v>
      </c>
      <c r="B7" s="1" t="s">
        <v>245</v>
      </c>
      <c r="C7" s="1" t="s">
        <v>73</v>
      </c>
      <c r="D7" s="1" t="s">
        <v>123</v>
      </c>
      <c r="E7" s="1" t="s">
        <v>249</v>
      </c>
      <c r="F7" s="1" t="s">
        <v>1202</v>
      </c>
      <c r="G7" s="1" t="s">
        <v>1203</v>
      </c>
      <c r="H7" s="1" t="s">
        <v>1204</v>
      </c>
      <c r="I7" s="1" t="s">
        <v>1201</v>
      </c>
    </row>
    <row r="8" customFormat="false" ht="15" hidden="false" customHeight="true" outlineLevel="0" collapsed="false">
      <c r="A8" s="1" t="s">
        <v>1193</v>
      </c>
      <c r="B8" s="1" t="s">
        <v>259</v>
      </c>
      <c r="C8" s="1" t="s">
        <v>73</v>
      </c>
      <c r="D8" s="1" t="s">
        <v>123</v>
      </c>
      <c r="E8" s="1" t="s">
        <v>249</v>
      </c>
      <c r="F8" s="1" t="s">
        <v>1205</v>
      </c>
      <c r="G8" s="1" t="s">
        <v>1206</v>
      </c>
      <c r="H8" s="1" t="s">
        <v>1207</v>
      </c>
      <c r="I8" s="1" t="s">
        <v>1201</v>
      </c>
    </row>
    <row r="9" customFormat="false" ht="15" hidden="false" customHeight="true" outlineLevel="0" collapsed="false">
      <c r="A9" s="1" t="s">
        <v>1193</v>
      </c>
      <c r="B9" s="1" t="s">
        <v>271</v>
      </c>
      <c r="C9" s="1" t="s">
        <v>73</v>
      </c>
      <c r="D9" s="1" t="s">
        <v>123</v>
      </c>
      <c r="E9" s="1" t="s">
        <v>249</v>
      </c>
      <c r="F9" s="1" t="s">
        <v>1205</v>
      </c>
      <c r="G9" s="1" t="s">
        <v>1206</v>
      </c>
      <c r="H9" s="1" t="s">
        <v>1208</v>
      </c>
      <c r="I9" s="1" t="s">
        <v>1201</v>
      </c>
    </row>
    <row r="10" customFormat="false" ht="15" hidden="false" customHeight="true" outlineLevel="0" collapsed="false">
      <c r="A10" s="1" t="s">
        <v>1193</v>
      </c>
      <c r="B10" s="1" t="s">
        <v>297</v>
      </c>
      <c r="C10" s="1" t="s">
        <v>73</v>
      </c>
      <c r="D10" s="1" t="s">
        <v>123</v>
      </c>
      <c r="E10" s="1" t="s">
        <v>249</v>
      </c>
      <c r="F10" s="1" t="s">
        <v>1205</v>
      </c>
      <c r="G10" s="1" t="s">
        <v>1203</v>
      </c>
      <c r="H10" s="1" t="s">
        <v>1209</v>
      </c>
      <c r="I10" s="1" t="s">
        <v>1201</v>
      </c>
    </row>
    <row r="11" customFormat="false" ht="15" hidden="false" customHeight="true" outlineLevel="0" collapsed="false">
      <c r="A11" s="1" t="s">
        <v>1193</v>
      </c>
      <c r="B11" s="1" t="s">
        <v>319</v>
      </c>
      <c r="C11" s="1" t="s">
        <v>73</v>
      </c>
      <c r="D11" s="1" t="s">
        <v>123</v>
      </c>
      <c r="E11" s="1" t="s">
        <v>249</v>
      </c>
      <c r="F11" s="1" t="s">
        <v>1205</v>
      </c>
      <c r="G11" s="1" t="s">
        <v>1210</v>
      </c>
      <c r="H11" s="1" t="s">
        <v>1211</v>
      </c>
      <c r="I11" s="1" t="s">
        <v>1201</v>
      </c>
    </row>
    <row r="12" customFormat="false" ht="15" hidden="false" customHeight="true" outlineLevel="0" collapsed="false">
      <c r="A12" s="1" t="s">
        <v>1193</v>
      </c>
      <c r="B12" s="1" t="s">
        <v>331</v>
      </c>
      <c r="C12" s="1" t="s">
        <v>73</v>
      </c>
      <c r="D12" s="1" t="s">
        <v>123</v>
      </c>
      <c r="E12" s="1" t="s">
        <v>249</v>
      </c>
      <c r="F12" s="1" t="s">
        <v>1205</v>
      </c>
      <c r="G12" s="1" t="s">
        <v>1212</v>
      </c>
      <c r="H12" s="1" t="s">
        <v>1213</v>
      </c>
      <c r="I12" s="1" t="s">
        <v>1201</v>
      </c>
    </row>
    <row r="13" customFormat="false" ht="15" hidden="false" customHeight="true" outlineLevel="0" collapsed="false">
      <c r="A13" s="1" t="s">
        <v>1193</v>
      </c>
      <c r="B13" s="1" t="s">
        <v>342</v>
      </c>
      <c r="C13" s="1" t="s">
        <v>73</v>
      </c>
      <c r="D13" s="1" t="s">
        <v>123</v>
      </c>
      <c r="E13" s="1" t="s">
        <v>249</v>
      </c>
      <c r="F13" s="1" t="s">
        <v>1205</v>
      </c>
      <c r="G13" s="1" t="s">
        <v>1214</v>
      </c>
      <c r="H13" s="1" t="s">
        <v>1215</v>
      </c>
      <c r="I13" s="1" t="s">
        <v>1201</v>
      </c>
    </row>
    <row r="14" customFormat="false" ht="15" hidden="false" customHeight="true" outlineLevel="0" collapsed="false">
      <c r="A14" s="1" t="s">
        <v>1193</v>
      </c>
      <c r="B14" s="1" t="s">
        <v>409</v>
      </c>
      <c r="C14" s="1" t="s">
        <v>73</v>
      </c>
      <c r="D14" s="1" t="s">
        <v>139</v>
      </c>
      <c r="E14" s="1" t="s">
        <v>249</v>
      </c>
      <c r="F14" s="1" t="s">
        <v>1216</v>
      </c>
      <c r="G14" s="1" t="s">
        <v>1206</v>
      </c>
      <c r="H14" s="1" t="s">
        <v>1217</v>
      </c>
      <c r="I14" s="1" t="s">
        <v>1201</v>
      </c>
    </row>
    <row r="15" customFormat="false" ht="15" hidden="false" customHeight="true" outlineLevel="0" collapsed="false">
      <c r="A15" s="1" t="s">
        <v>1193</v>
      </c>
      <c r="B15" s="1" t="s">
        <v>435</v>
      </c>
      <c r="C15" s="1" t="s">
        <v>73</v>
      </c>
      <c r="D15" s="1" t="s">
        <v>123</v>
      </c>
      <c r="E15" s="1" t="s">
        <v>249</v>
      </c>
      <c r="F15" s="1" t="s">
        <v>1218</v>
      </c>
      <c r="G15" s="1" t="s">
        <v>1206</v>
      </c>
      <c r="H15" s="1" t="s">
        <v>1219</v>
      </c>
      <c r="I15" s="1" t="s">
        <v>1201</v>
      </c>
    </row>
    <row r="16" customFormat="false" ht="15" hidden="false" customHeight="true" outlineLevel="0" collapsed="false">
      <c r="A16" s="1" t="s">
        <v>1193</v>
      </c>
      <c r="B16" s="1" t="s">
        <v>500</v>
      </c>
      <c r="C16" s="1" t="s">
        <v>73</v>
      </c>
      <c r="D16" s="1" t="s">
        <v>123</v>
      </c>
      <c r="E16" s="1" t="s">
        <v>249</v>
      </c>
      <c r="F16" s="1" t="s">
        <v>1220</v>
      </c>
      <c r="G16" s="1" t="s">
        <v>1221</v>
      </c>
      <c r="H16" s="1" t="s">
        <v>1222</v>
      </c>
      <c r="I16" s="1" t="s">
        <v>1201</v>
      </c>
    </row>
    <row r="17" customFormat="false" ht="15" hidden="false" customHeight="true" outlineLevel="0" collapsed="false">
      <c r="A17" s="1" t="s">
        <v>1193</v>
      </c>
      <c r="B17" s="1" t="s">
        <v>763</v>
      </c>
      <c r="C17" s="1" t="s">
        <v>73</v>
      </c>
      <c r="D17" s="1" t="s">
        <v>123</v>
      </c>
      <c r="E17" s="1" t="s">
        <v>249</v>
      </c>
      <c r="F17" s="1" t="s">
        <v>1223</v>
      </c>
      <c r="G17" s="1" t="s">
        <v>1206</v>
      </c>
      <c r="H17" s="1" t="s">
        <v>1224</v>
      </c>
      <c r="I17" s="1" t="s">
        <v>1201</v>
      </c>
    </row>
    <row r="18" customFormat="false" ht="15" hidden="false" customHeight="true" outlineLevel="0" collapsed="false">
      <c r="A18" s="1" t="s">
        <v>1193</v>
      </c>
      <c r="B18" s="1" t="s">
        <v>837</v>
      </c>
      <c r="C18" s="1" t="s">
        <v>73</v>
      </c>
      <c r="D18" s="1" t="s">
        <v>123</v>
      </c>
      <c r="E18" s="1" t="s">
        <v>249</v>
      </c>
      <c r="F18" s="1" t="s">
        <v>1225</v>
      </c>
      <c r="G18" s="1" t="s">
        <v>1226</v>
      </c>
      <c r="H18" s="1" t="s">
        <v>1227</v>
      </c>
      <c r="I18" s="1" t="s">
        <v>1201</v>
      </c>
    </row>
    <row r="19" customFormat="false" ht="15" hidden="false" customHeight="true" outlineLevel="0" collapsed="false">
      <c r="A19" s="1" t="s">
        <v>1193</v>
      </c>
      <c r="B19" s="1" t="s">
        <v>866</v>
      </c>
      <c r="C19" s="1" t="s">
        <v>73</v>
      </c>
      <c r="D19" s="1" t="s">
        <v>139</v>
      </c>
      <c r="E19" s="1" t="s">
        <v>249</v>
      </c>
      <c r="F19" s="1" t="s">
        <v>1228</v>
      </c>
      <c r="G19" s="1" t="s">
        <v>1229</v>
      </c>
      <c r="H19" s="1" t="s">
        <v>1230</v>
      </c>
      <c r="I19" s="1" t="s">
        <v>1201</v>
      </c>
    </row>
    <row r="20" customFormat="false" ht="15" hidden="false" customHeight="true" outlineLevel="0" collapsed="false">
      <c r="A20" s="1" t="s">
        <v>1193</v>
      </c>
      <c r="B20" s="1" t="s">
        <v>609</v>
      </c>
      <c r="C20" s="1" t="s">
        <v>85</v>
      </c>
      <c r="D20" s="1" t="s">
        <v>1231</v>
      </c>
      <c r="E20" s="1" t="s">
        <v>1232</v>
      </c>
      <c r="F20" s="1" t="s">
        <v>1233</v>
      </c>
      <c r="G20" s="1" t="s">
        <v>1234</v>
      </c>
      <c r="H20" s="1" t="s">
        <v>1235</v>
      </c>
      <c r="I20" s="1" t="s">
        <v>1201</v>
      </c>
    </row>
    <row r="21" customFormat="false" ht="15" hidden="false" customHeight="true" outlineLevel="0" collapsed="false">
      <c r="A21" s="1" t="s">
        <v>1193</v>
      </c>
      <c r="B21" s="1" t="s">
        <v>119</v>
      </c>
      <c r="C21" s="1" t="s">
        <v>1236</v>
      </c>
      <c r="D21" s="1" t="s">
        <v>1237</v>
      </c>
      <c r="E21" s="1" t="s">
        <v>1238</v>
      </c>
      <c r="F21" s="1" t="s">
        <v>1239</v>
      </c>
      <c r="G21" s="1" t="s">
        <v>1240</v>
      </c>
      <c r="H21" s="1" t="s">
        <v>1241</v>
      </c>
      <c r="I21" s="1" t="s">
        <v>1201</v>
      </c>
    </row>
    <row r="22" customFormat="false" ht="15" hidden="false" customHeight="true" outlineLevel="0" collapsed="false">
      <c r="A22" s="1" t="s">
        <v>1193</v>
      </c>
      <c r="B22" s="1" t="s">
        <v>597</v>
      </c>
      <c r="C22" s="1" t="s">
        <v>75</v>
      </c>
      <c r="D22" s="1" t="s">
        <v>105</v>
      </c>
      <c r="E22" s="1" t="s">
        <v>530</v>
      </c>
      <c r="F22" s="1" t="s">
        <v>1242</v>
      </c>
      <c r="G22" s="1" t="s">
        <v>1243</v>
      </c>
      <c r="H22" s="1" t="s">
        <v>1244</v>
      </c>
      <c r="I22" s="1" t="s">
        <v>1201</v>
      </c>
    </row>
    <row r="23" customFormat="false" ht="15" hidden="false" customHeight="true" outlineLevel="0" collapsed="false">
      <c r="A23" s="1" t="s">
        <v>1193</v>
      </c>
      <c r="B23" s="1" t="s">
        <v>1194</v>
      </c>
      <c r="C23" s="1" t="s">
        <v>1245</v>
      </c>
      <c r="D23" s="1" t="s">
        <v>1246</v>
      </c>
      <c r="E23" s="1" t="s">
        <v>1247</v>
      </c>
      <c r="F23" s="1" t="s">
        <v>1248</v>
      </c>
      <c r="G23" s="1" t="s">
        <v>1249</v>
      </c>
      <c r="H23" s="1" t="s">
        <v>1250</v>
      </c>
      <c r="I23" s="1" t="s">
        <v>1201</v>
      </c>
    </row>
    <row r="24" customFormat="false" ht="15" hidden="false" customHeight="true" outlineLevel="0" collapsed="false">
      <c r="A24" s="1" t="s">
        <v>1193</v>
      </c>
      <c r="B24" s="1" t="s">
        <v>1194</v>
      </c>
      <c r="C24" s="1" t="s">
        <v>1251</v>
      </c>
      <c r="D24" s="1" t="s">
        <v>1252</v>
      </c>
      <c r="E24" s="1" t="s">
        <v>1253</v>
      </c>
      <c r="F24" s="1" t="s">
        <v>1254</v>
      </c>
      <c r="G24" s="1" t="s">
        <v>1255</v>
      </c>
      <c r="H24" s="1" t="s">
        <v>1256</v>
      </c>
      <c r="I24" s="1" t="s">
        <v>1201</v>
      </c>
    </row>
    <row r="25" customFormat="false" ht="15" hidden="false" customHeight="true" outlineLevel="0" collapsed="false">
      <c r="A25" s="1" t="s">
        <v>1193</v>
      </c>
      <c r="B25" s="1" t="s">
        <v>1194</v>
      </c>
      <c r="C25" s="1" t="s">
        <v>1257</v>
      </c>
      <c r="D25" s="1" t="s">
        <v>1258</v>
      </c>
      <c r="E25" s="1" t="s">
        <v>1259</v>
      </c>
      <c r="F25" s="1" t="s">
        <v>1260</v>
      </c>
      <c r="G25" s="1" t="s">
        <v>1261</v>
      </c>
      <c r="H25" s="1" t="s">
        <v>1200</v>
      </c>
      <c r="I25" s="1" t="s">
        <v>1201</v>
      </c>
    </row>
    <row r="26" customFormat="false" ht="15" hidden="false" customHeight="true" outlineLevel="0" collapsed="false">
      <c r="A26" s="1" t="s">
        <v>1193</v>
      </c>
      <c r="B26" s="1" t="s">
        <v>1194</v>
      </c>
      <c r="C26" s="1" t="s">
        <v>1262</v>
      </c>
      <c r="D26" s="1" t="s">
        <v>1263</v>
      </c>
      <c r="E26" s="1" t="s">
        <v>1264</v>
      </c>
      <c r="F26" s="1" t="s">
        <v>1265</v>
      </c>
      <c r="G26" s="1" t="s">
        <v>1261</v>
      </c>
      <c r="H26" s="1" t="s">
        <v>1200</v>
      </c>
      <c r="I26" s="1" t="s">
        <v>1201</v>
      </c>
    </row>
    <row r="27" customFormat="false" ht="15" hidden="false" customHeight="true" outlineLevel="0" collapsed="false">
      <c r="A27" s="1" t="s">
        <v>1193</v>
      </c>
      <c r="B27" s="1" t="s">
        <v>1194</v>
      </c>
      <c r="C27" s="1" t="s">
        <v>1266</v>
      </c>
      <c r="D27" s="1" t="s">
        <v>1267</v>
      </c>
      <c r="E27" s="1" t="s">
        <v>1268</v>
      </c>
      <c r="F27" s="1" t="s">
        <v>1269</v>
      </c>
      <c r="G27" s="1" t="s">
        <v>1261</v>
      </c>
      <c r="H27" s="1" t="s">
        <v>1200</v>
      </c>
      <c r="I27" s="1" t="s">
        <v>1201</v>
      </c>
    </row>
    <row r="28" customFormat="false" ht="15" hidden="false" customHeight="true" outlineLevel="0" collapsed="false">
      <c r="A28" s="1" t="s">
        <v>1193</v>
      </c>
      <c r="B28" s="1" t="s">
        <v>1194</v>
      </c>
      <c r="C28" s="1" t="s">
        <v>1270</v>
      </c>
      <c r="D28" s="1" t="s">
        <v>1271</v>
      </c>
      <c r="E28" s="1" t="s">
        <v>1272</v>
      </c>
      <c r="F28" s="1" t="s">
        <v>1273</v>
      </c>
      <c r="G28" s="1" t="s">
        <v>1261</v>
      </c>
      <c r="H28" s="1" t="s">
        <v>1200</v>
      </c>
      <c r="I28" s="1" t="s">
        <v>1201</v>
      </c>
    </row>
    <row r="29" customFormat="false" ht="15" hidden="false" customHeight="true" outlineLevel="0" collapsed="false">
      <c r="A29" s="1" t="s">
        <v>1193</v>
      </c>
      <c r="B29" s="1" t="s">
        <v>1194</v>
      </c>
      <c r="C29" s="1" t="s">
        <v>1274</v>
      </c>
      <c r="D29" s="1" t="s">
        <v>1275</v>
      </c>
      <c r="E29" s="1" t="s">
        <v>1276</v>
      </c>
      <c r="F29" s="1" t="s">
        <v>1277</v>
      </c>
      <c r="G29" s="1" t="s">
        <v>1261</v>
      </c>
      <c r="H29" s="1" t="s">
        <v>1200</v>
      </c>
      <c r="I29" s="1" t="s">
        <v>1201</v>
      </c>
    </row>
    <row r="30" customFormat="false" ht="15" hidden="false" customHeight="true" outlineLevel="0" collapsed="false">
      <c r="A30" s="1" t="s">
        <v>1193</v>
      </c>
      <c r="B30" s="1" t="s">
        <v>1194</v>
      </c>
      <c r="C30" s="1" t="s">
        <v>1278</v>
      </c>
      <c r="D30" s="1" t="s">
        <v>1279</v>
      </c>
      <c r="E30" s="1" t="s">
        <v>1280</v>
      </c>
      <c r="F30" s="1" t="s">
        <v>1281</v>
      </c>
      <c r="G30" s="1" t="s">
        <v>1261</v>
      </c>
      <c r="H30" s="1" t="s">
        <v>1200</v>
      </c>
      <c r="I30" s="1" t="s">
        <v>1201</v>
      </c>
    </row>
    <row r="31" customFormat="false" ht="15" hidden="false" customHeight="true" outlineLevel="0" collapsed="false">
      <c r="A31" s="1" t="s">
        <v>1193</v>
      </c>
      <c r="B31" s="1" t="s">
        <v>1194</v>
      </c>
      <c r="C31" s="1" t="s">
        <v>1282</v>
      </c>
      <c r="D31" s="1" t="s">
        <v>1283</v>
      </c>
      <c r="E31" s="1" t="s">
        <v>1280</v>
      </c>
      <c r="F31" s="1" t="s">
        <v>1284</v>
      </c>
      <c r="G31" s="1" t="s">
        <v>1285</v>
      </c>
      <c r="H31" s="1" t="s">
        <v>1286</v>
      </c>
      <c r="I31" s="1" t="s">
        <v>1201</v>
      </c>
    </row>
    <row r="32" customFormat="false" ht="15" hidden="false" customHeight="true" outlineLevel="0" collapsed="false">
      <c r="A32" s="1" t="s">
        <v>1193</v>
      </c>
      <c r="B32" s="1" t="s">
        <v>1194</v>
      </c>
      <c r="C32" s="1" t="s">
        <v>74</v>
      </c>
      <c r="D32" s="1" t="s">
        <v>1287</v>
      </c>
      <c r="E32" s="1" t="s">
        <v>1288</v>
      </c>
      <c r="F32" s="1" t="s">
        <v>1289</v>
      </c>
      <c r="G32" s="1" t="s">
        <v>1261</v>
      </c>
      <c r="H32" s="1" t="s">
        <v>1200</v>
      </c>
      <c r="I32" s="1" t="s">
        <v>1201</v>
      </c>
    </row>
    <row r="33" customFormat="false" ht="15" hidden="false" customHeight="true" outlineLevel="0" collapsed="false">
      <c r="A33" s="1" t="s">
        <v>1193</v>
      </c>
      <c r="B33" s="1" t="s">
        <v>1194</v>
      </c>
      <c r="C33" s="1" t="s">
        <v>1290</v>
      </c>
      <c r="D33" s="1" t="s">
        <v>1291</v>
      </c>
      <c r="E33" s="1" t="s">
        <v>1292</v>
      </c>
      <c r="F33" s="1" t="s">
        <v>1293</v>
      </c>
      <c r="G33" s="1" t="s">
        <v>1261</v>
      </c>
      <c r="H33" s="1" t="s">
        <v>1200</v>
      </c>
      <c r="I33" s="1" t="s">
        <v>1201</v>
      </c>
    </row>
    <row r="34" customFormat="false" ht="15" hidden="false" customHeight="true" outlineLevel="0" collapsed="false">
      <c r="A34" s="1" t="s">
        <v>1193</v>
      </c>
      <c r="B34" s="1" t="s">
        <v>1194</v>
      </c>
      <c r="C34" s="1" t="s">
        <v>1294</v>
      </c>
      <c r="D34" s="1" t="s">
        <v>900</v>
      </c>
      <c r="E34" s="1" t="s">
        <v>1295</v>
      </c>
      <c r="F34" s="1" t="s">
        <v>1296</v>
      </c>
      <c r="G34" s="1" t="s">
        <v>1261</v>
      </c>
      <c r="H34" s="1" t="s">
        <v>1200</v>
      </c>
      <c r="I34" s="1" t="s">
        <v>1201</v>
      </c>
    </row>
    <row r="35" customFormat="false" ht="15" hidden="false" customHeight="true" outlineLevel="0" collapsed="false">
      <c r="A35" s="1" t="s">
        <v>1193</v>
      </c>
      <c r="B35" s="1" t="s">
        <v>1194</v>
      </c>
      <c r="C35" s="1" t="s">
        <v>1297</v>
      </c>
      <c r="D35" s="1" t="s">
        <v>1298</v>
      </c>
      <c r="E35" s="1" t="s">
        <v>1299</v>
      </c>
      <c r="F35" s="1" t="s">
        <v>1300</v>
      </c>
      <c r="G35" s="1" t="s">
        <v>1261</v>
      </c>
      <c r="H35" s="1" t="s">
        <v>1200</v>
      </c>
      <c r="I35" s="1" t="s">
        <v>1201</v>
      </c>
    </row>
    <row r="36" customFormat="false" ht="15" hidden="false" customHeight="true" outlineLevel="0" collapsed="false">
      <c r="A36" s="1" t="s">
        <v>1193</v>
      </c>
      <c r="B36" s="1" t="s">
        <v>1194</v>
      </c>
      <c r="C36" s="1" t="s">
        <v>1301</v>
      </c>
      <c r="D36" s="1" t="s">
        <v>1302</v>
      </c>
      <c r="E36" s="1" t="s">
        <v>1303</v>
      </c>
      <c r="F36" s="1" t="s">
        <v>1304</v>
      </c>
      <c r="G36" s="1" t="s">
        <v>1261</v>
      </c>
      <c r="H36" s="1" t="s">
        <v>1200</v>
      </c>
      <c r="I36" s="1" t="s">
        <v>1201</v>
      </c>
    </row>
    <row r="37" customFormat="false" ht="15" hidden="false" customHeight="true" outlineLevel="0" collapsed="false">
      <c r="A37" s="1" t="s">
        <v>1193</v>
      </c>
      <c r="B37" s="1" t="s">
        <v>1194</v>
      </c>
      <c r="C37" s="1" t="s">
        <v>1305</v>
      </c>
      <c r="D37" s="1" t="s">
        <v>1306</v>
      </c>
      <c r="E37" s="1" t="s">
        <v>1307</v>
      </c>
      <c r="F37" s="1" t="s">
        <v>1308</v>
      </c>
      <c r="G37" s="1" t="s">
        <v>1261</v>
      </c>
      <c r="H37" s="1" t="s">
        <v>1200</v>
      </c>
      <c r="I37" s="1" t="s">
        <v>1201</v>
      </c>
    </row>
    <row r="38" customFormat="false" ht="15" hidden="false" customHeight="true" outlineLevel="0" collapsed="false">
      <c r="A38" s="1" t="s">
        <v>1193</v>
      </c>
      <c r="B38" s="1" t="s">
        <v>1194</v>
      </c>
      <c r="C38" s="1" t="s">
        <v>1309</v>
      </c>
      <c r="D38" s="1" t="s">
        <v>1310</v>
      </c>
      <c r="E38" s="1" t="s">
        <v>1311</v>
      </c>
      <c r="F38" s="1" t="s">
        <v>1312</v>
      </c>
      <c r="G38" s="1" t="s">
        <v>1261</v>
      </c>
      <c r="H38" s="1" t="s">
        <v>1200</v>
      </c>
      <c r="I38" s="1" t="s">
        <v>1201</v>
      </c>
    </row>
    <row r="39" customFormat="false" ht="15" hidden="false" customHeight="true" outlineLevel="0" collapsed="false">
      <c r="A39" s="1" t="s">
        <v>1193</v>
      </c>
      <c r="B39" s="1" t="s">
        <v>1194</v>
      </c>
      <c r="C39" s="1" t="s">
        <v>1313</v>
      </c>
      <c r="D39" s="1" t="s">
        <v>1287</v>
      </c>
      <c r="E39" s="1" t="s">
        <v>1314</v>
      </c>
      <c r="F39" s="1" t="s">
        <v>1315</v>
      </c>
      <c r="G39" s="1" t="s">
        <v>1261</v>
      </c>
      <c r="H39" s="1" t="s">
        <v>1200</v>
      </c>
      <c r="I39" s="1" t="s">
        <v>1201</v>
      </c>
    </row>
    <row r="40" customFormat="false" ht="15" hidden="false" customHeight="true" outlineLevel="0" collapsed="false">
      <c r="A40" s="1" t="s">
        <v>1193</v>
      </c>
      <c r="B40" s="1" t="s">
        <v>1194</v>
      </c>
      <c r="C40" s="1" t="s">
        <v>1316</v>
      </c>
      <c r="D40" s="1" t="s">
        <v>1317</v>
      </c>
      <c r="E40" s="1" t="s">
        <v>1318</v>
      </c>
      <c r="F40" s="1" t="s">
        <v>1319</v>
      </c>
      <c r="G40" s="1" t="s">
        <v>1320</v>
      </c>
      <c r="H40" s="1" t="s">
        <v>1200</v>
      </c>
      <c r="I40" s="1" t="s">
        <v>1201</v>
      </c>
    </row>
    <row r="42" customFormat="false" ht="15" hidden="false" customHeight="true" outlineLevel="0" collapsed="false">
      <c r="A42" s="1" t="s">
        <v>1321</v>
      </c>
    </row>
    <row r="44" customFormat="false" ht="15" hidden="false" customHeight="true" outlineLevel="0" collapsed="false">
      <c r="A44" s="1" t="s">
        <v>1185</v>
      </c>
      <c r="B44" s="1" t="s">
        <v>68</v>
      </c>
      <c r="C44" s="1" t="s">
        <v>1186</v>
      </c>
      <c r="D44" s="1" t="s">
        <v>96</v>
      </c>
      <c r="E44" s="1" t="s">
        <v>1322</v>
      </c>
      <c r="F44" s="1" t="s">
        <v>1323</v>
      </c>
      <c r="G44" s="1" t="s">
        <v>1190</v>
      </c>
      <c r="H44" s="1" t="s">
        <v>1191</v>
      </c>
      <c r="I44" s="1" t="s">
        <v>1324</v>
      </c>
    </row>
    <row r="45" customFormat="false" ht="15" hidden="false" customHeight="true" outlineLevel="0" collapsed="false">
      <c r="A45" s="1" t="s">
        <v>1325</v>
      </c>
      <c r="B45" s="1" t="s">
        <v>1326</v>
      </c>
      <c r="C45" s="1" t="s">
        <v>75</v>
      </c>
      <c r="D45" s="1" t="s">
        <v>1327</v>
      </c>
      <c r="E45" s="1" t="s">
        <v>1328</v>
      </c>
      <c r="F45" s="1" t="s">
        <v>1329</v>
      </c>
      <c r="G45" s="1" t="s">
        <v>1330</v>
      </c>
      <c r="H45" s="1" t="s">
        <v>1331</v>
      </c>
      <c r="I45" s="1" t="s">
        <v>1201</v>
      </c>
    </row>
    <row r="46" customFormat="false" ht="15" hidden="false" customHeight="true" outlineLevel="0" collapsed="false">
      <c r="A46" s="1" t="s">
        <v>1325</v>
      </c>
      <c r="B46" s="1" t="s">
        <v>1332</v>
      </c>
      <c r="C46" s="1" t="s">
        <v>75</v>
      </c>
      <c r="D46" s="1" t="s">
        <v>1333</v>
      </c>
      <c r="E46" s="1" t="s">
        <v>1334</v>
      </c>
      <c r="F46" s="1" t="s">
        <v>1335</v>
      </c>
      <c r="G46" s="1" t="s">
        <v>1336</v>
      </c>
      <c r="H46" s="1" t="s">
        <v>1331</v>
      </c>
      <c r="I46" s="1" t="s">
        <v>1201</v>
      </c>
    </row>
    <row r="47" customFormat="false" ht="15" hidden="false" customHeight="true" outlineLevel="0" collapsed="false">
      <c r="A47" s="1" t="s">
        <v>1337</v>
      </c>
      <c r="B47" s="1" t="s">
        <v>1338</v>
      </c>
      <c r="C47" s="1" t="s">
        <v>1339</v>
      </c>
      <c r="D47" s="1" t="s">
        <v>1340</v>
      </c>
      <c r="E47" s="1" t="s">
        <v>1341</v>
      </c>
      <c r="F47" s="1" t="s">
        <v>1329</v>
      </c>
      <c r="G47" s="1" t="s">
        <v>1342</v>
      </c>
      <c r="H47" s="1" t="s">
        <v>1343</v>
      </c>
      <c r="I47" s="1" t="s">
        <v>1201</v>
      </c>
    </row>
    <row r="48" customFormat="false" ht="15" hidden="false" customHeight="true" outlineLevel="0" collapsed="false">
      <c r="A48" s="1" t="s">
        <v>1337</v>
      </c>
      <c r="B48" s="1" t="s">
        <v>900</v>
      </c>
      <c r="C48" s="1" t="s">
        <v>1344</v>
      </c>
      <c r="D48" s="1" t="s">
        <v>1345</v>
      </c>
      <c r="E48" s="1" t="s">
        <v>1346</v>
      </c>
      <c r="F48" s="1" t="s">
        <v>1347</v>
      </c>
      <c r="G48" s="1" t="s">
        <v>1348</v>
      </c>
      <c r="H48" s="1" t="s">
        <v>1349</v>
      </c>
      <c r="I48" s="1" t="s">
        <v>1350</v>
      </c>
    </row>
    <row r="49" customFormat="false" ht="15" hidden="false" customHeight="true" outlineLevel="0" collapsed="false">
      <c r="A49" s="1" t="s">
        <v>1337</v>
      </c>
      <c r="B49" s="1" t="s">
        <v>900</v>
      </c>
      <c r="C49" s="1" t="s">
        <v>1351</v>
      </c>
      <c r="D49" s="1" t="s">
        <v>1352</v>
      </c>
      <c r="E49" s="1" t="s">
        <v>1353</v>
      </c>
      <c r="F49" s="1" t="s">
        <v>1329</v>
      </c>
      <c r="G49" s="1" t="s">
        <v>1354</v>
      </c>
      <c r="H49" s="1" t="s">
        <v>1355</v>
      </c>
      <c r="I49" s="1" t="s">
        <v>1356</v>
      </c>
    </row>
    <row r="50" customFormat="false" ht="15" hidden="false" customHeight="true" outlineLevel="0" collapsed="false">
      <c r="A50" s="1" t="s">
        <v>1337</v>
      </c>
      <c r="B50" s="1" t="s">
        <v>900</v>
      </c>
      <c r="C50" s="1" t="s">
        <v>1357</v>
      </c>
      <c r="D50" s="1" t="s">
        <v>1358</v>
      </c>
      <c r="E50" s="1" t="s">
        <v>1359</v>
      </c>
      <c r="F50" s="1" t="s">
        <v>1329</v>
      </c>
      <c r="G50" s="1" t="s">
        <v>1360</v>
      </c>
      <c r="H50" s="1" t="s">
        <v>1361</v>
      </c>
      <c r="I50" s="1" t="s">
        <v>1201</v>
      </c>
    </row>
    <row r="51" customFormat="false" ht="15" hidden="false" customHeight="true" outlineLevel="0" collapsed="false">
      <c r="A51" s="1" t="s">
        <v>1362</v>
      </c>
      <c r="B51" s="1" t="s">
        <v>900</v>
      </c>
      <c r="C51" s="1" t="s">
        <v>1363</v>
      </c>
      <c r="D51" s="1" t="s">
        <v>1364</v>
      </c>
      <c r="E51" s="1" t="s">
        <v>1365</v>
      </c>
      <c r="F51" s="1" t="s">
        <v>1347</v>
      </c>
      <c r="G51" s="1" t="s">
        <v>1366</v>
      </c>
      <c r="H51" s="1" t="s">
        <v>1367</v>
      </c>
      <c r="I51" s="1" t="s">
        <v>1201</v>
      </c>
    </row>
    <row r="52" customFormat="false" ht="15" hidden="false" customHeight="true" outlineLevel="0" collapsed="false">
      <c r="A52" s="1" t="s">
        <v>1362</v>
      </c>
      <c r="B52" s="1" t="s">
        <v>900</v>
      </c>
      <c r="C52" s="1" t="s">
        <v>1368</v>
      </c>
      <c r="D52" s="1" t="s">
        <v>1369</v>
      </c>
      <c r="E52" s="1" t="s">
        <v>1370</v>
      </c>
      <c r="F52" s="1" t="s">
        <v>1347</v>
      </c>
      <c r="G52" s="1" t="s">
        <v>1371</v>
      </c>
      <c r="H52" s="1" t="s">
        <v>1372</v>
      </c>
      <c r="I52" s="1" t="s">
        <v>1201</v>
      </c>
    </row>
    <row r="53" customFormat="false" ht="15" hidden="false" customHeight="true" outlineLevel="0" collapsed="false">
      <c r="A53" s="1" t="s">
        <v>1362</v>
      </c>
      <c r="B53" s="1" t="s">
        <v>900</v>
      </c>
      <c r="C53" s="1" t="s">
        <v>1373</v>
      </c>
      <c r="D53" s="1" t="s">
        <v>1374</v>
      </c>
      <c r="E53" s="1" t="s">
        <v>1375</v>
      </c>
      <c r="F53" s="1" t="s">
        <v>1347</v>
      </c>
      <c r="G53" s="1" t="s">
        <v>1376</v>
      </c>
      <c r="H53" s="1" t="s">
        <v>1377</v>
      </c>
      <c r="I53" s="1" t="s">
        <v>1201</v>
      </c>
    </row>
    <row r="54" customFormat="false" ht="15" hidden="false" customHeight="true" outlineLevel="0" collapsed="false">
      <c r="A54" s="1" t="s">
        <v>1193</v>
      </c>
      <c r="B54" s="1" t="s">
        <v>1194</v>
      </c>
      <c r="C54" s="1" t="s">
        <v>1378</v>
      </c>
      <c r="D54" s="1" t="s">
        <v>1379</v>
      </c>
      <c r="E54" s="1" t="s">
        <v>1380</v>
      </c>
      <c r="F54" s="1" t="s">
        <v>1381</v>
      </c>
      <c r="G54" s="1" t="s">
        <v>1382</v>
      </c>
      <c r="H54" s="1" t="s">
        <v>1383</v>
      </c>
      <c r="I54" s="1" t="s">
        <v>1384</v>
      </c>
    </row>
    <row r="55" customFormat="false" ht="15" hidden="false" customHeight="true" outlineLevel="0" collapsed="false">
      <c r="A55" s="1" t="s">
        <v>1193</v>
      </c>
      <c r="B55" s="1" t="s">
        <v>1385</v>
      </c>
      <c r="C55" s="1" t="s">
        <v>1386</v>
      </c>
      <c r="D55" s="1" t="s">
        <v>1387</v>
      </c>
      <c r="E55" s="1" t="s">
        <v>1388</v>
      </c>
      <c r="F55" s="1" t="s">
        <v>1389</v>
      </c>
      <c r="G55" s="1" t="s">
        <v>1390</v>
      </c>
      <c r="H55" s="1" t="s">
        <v>1391</v>
      </c>
      <c r="I55" s="1" t="s">
        <v>1384</v>
      </c>
    </row>
    <row r="56" customFormat="false" ht="15" hidden="false" customHeight="true" outlineLevel="0" collapsed="false">
      <c r="A56" s="1" t="s">
        <v>1193</v>
      </c>
      <c r="B56" s="1" t="s">
        <v>1392</v>
      </c>
      <c r="C56" s="1" t="s">
        <v>1393</v>
      </c>
      <c r="D56" s="1" t="s">
        <v>1394</v>
      </c>
      <c r="E56" s="1" t="s">
        <v>1395</v>
      </c>
      <c r="F56" s="1" t="s">
        <v>1396</v>
      </c>
      <c r="G56" s="1" t="s">
        <v>1397</v>
      </c>
      <c r="H56" s="1" t="s">
        <v>1398</v>
      </c>
      <c r="I56" s="1" t="s">
        <v>1201</v>
      </c>
    </row>
    <row r="58" customFormat="false" ht="15" hidden="false" customHeight="false" outlineLevel="0" collapsed="false">
      <c r="A58" s="1" t="s">
        <v>1193</v>
      </c>
      <c r="B58" s="1" t="s">
        <v>1194</v>
      </c>
      <c r="C58" s="1" t="s">
        <v>1399</v>
      </c>
      <c r="D58" s="1" t="s">
        <v>1400</v>
      </c>
      <c r="E58" s="1" t="s">
        <v>1401</v>
      </c>
      <c r="F58" s="1" t="s">
        <v>1402</v>
      </c>
      <c r="G58" s="1" t="s">
        <v>1403</v>
      </c>
      <c r="H58" s="1" t="s">
        <v>1404</v>
      </c>
      <c r="I58" s="1" t="s">
        <v>1384</v>
      </c>
    </row>
    <row r="59" customFormat="false" ht="15" hidden="false" customHeight="false" outlineLevel="0" collapsed="false">
      <c r="A59" s="0" t="s">
        <v>1193</v>
      </c>
      <c r="B59" s="0" t="s">
        <v>1194</v>
      </c>
      <c r="C59" s="0" t="s">
        <v>1405</v>
      </c>
      <c r="D59" s="0" t="s">
        <v>1406</v>
      </c>
      <c r="E59" s="0" t="s">
        <v>1407</v>
      </c>
      <c r="F59" s="0" t="s">
        <v>1408</v>
      </c>
      <c r="G59" s="0" t="s">
        <v>1409</v>
      </c>
      <c r="H59" s="0" t="s">
        <v>1410</v>
      </c>
      <c r="I59" s="0" t="s">
        <v>1384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1411</v>
      </c>
    </row>
    <row r="2" customFormat="false" ht="15" hidden="false" customHeight="true" outlineLevel="0" collapsed="false">
      <c r="A2" s="1" t="s">
        <v>1412</v>
      </c>
    </row>
    <row r="3" customFormat="false" ht="15" hidden="false" customHeight="true" outlineLevel="0" collapsed="false">
      <c r="A3" s="1" t="s">
        <v>1413</v>
      </c>
    </row>
    <row r="5" customFormat="false" ht="15" hidden="false" customHeight="true" outlineLevel="0" collapsed="false">
      <c r="A5" s="1" t="s">
        <v>1414</v>
      </c>
    </row>
    <row r="7" customFormat="false" ht="15" hidden="false" customHeight="true" outlineLevel="0" collapsed="false">
      <c r="A7" s="1" t="s">
        <v>13</v>
      </c>
    </row>
    <row r="8" customFormat="false" ht="15" hidden="false" customHeight="true" outlineLevel="0" collapsed="false">
      <c r="A8" s="1" t="s">
        <v>1415</v>
      </c>
    </row>
    <row r="9" customFormat="false" ht="15" hidden="false" customHeight="true" outlineLevel="0" collapsed="false">
      <c r="A9" s="1" t="s">
        <v>13</v>
      </c>
    </row>
    <row r="11" customFormat="false" ht="15" hidden="false" customHeight="true" outlineLevel="0" collapsed="false">
      <c r="A11" s="1" t="s">
        <v>877</v>
      </c>
      <c r="B11" s="1" t="s">
        <v>1416</v>
      </c>
      <c r="C11" s="1" t="s">
        <v>1417</v>
      </c>
      <c r="D11" s="1" t="s">
        <v>1418</v>
      </c>
      <c r="E11" s="1" t="s">
        <v>1419</v>
      </c>
      <c r="F11" s="1" t="s">
        <v>1005</v>
      </c>
    </row>
    <row r="12" customFormat="false" ht="15" hidden="false" customHeight="true" outlineLevel="0" collapsed="false">
      <c r="A12" s="1" t="s">
        <v>883</v>
      </c>
      <c r="B12" s="1" t="n">
        <v>3</v>
      </c>
      <c r="C12" s="1" t="s">
        <v>1420</v>
      </c>
      <c r="D12" s="1" t="s">
        <v>1421</v>
      </c>
      <c r="E12" s="1" t="s">
        <v>1422</v>
      </c>
      <c r="F12" s="1" t="s">
        <v>1423</v>
      </c>
    </row>
    <row r="13" customFormat="false" ht="15" hidden="false" customHeight="true" outlineLevel="0" collapsed="false">
      <c r="A13" s="1" t="s">
        <v>889</v>
      </c>
      <c r="B13" s="1" t="n">
        <v>3</v>
      </c>
      <c r="C13" s="1" t="s">
        <v>1420</v>
      </c>
      <c r="D13" s="1" t="s">
        <v>1424</v>
      </c>
      <c r="E13" s="1" t="s">
        <v>1425</v>
      </c>
      <c r="F13" s="1" t="s">
        <v>1426</v>
      </c>
    </row>
    <row r="14" customFormat="false" ht="15" hidden="false" customHeight="true" outlineLevel="0" collapsed="false">
      <c r="A14" s="1" t="s">
        <v>895</v>
      </c>
      <c r="B14" s="1" t="n">
        <v>3</v>
      </c>
      <c r="C14" s="1" t="s">
        <v>1427</v>
      </c>
      <c r="D14" s="1" t="s">
        <v>1428</v>
      </c>
      <c r="E14" s="1" t="s">
        <v>1429</v>
      </c>
      <c r="F14" s="1" t="s">
        <v>1430</v>
      </c>
    </row>
    <row r="15" customFormat="false" ht="15" hidden="false" customHeight="true" outlineLevel="0" collapsed="false">
      <c r="A15" s="1" t="s">
        <v>901</v>
      </c>
      <c r="B15" s="1" t="n">
        <v>3</v>
      </c>
      <c r="C15" s="1" t="s">
        <v>1431</v>
      </c>
      <c r="D15" s="1" t="s">
        <v>1432</v>
      </c>
      <c r="E15" s="1" t="s">
        <v>1433</v>
      </c>
      <c r="F15" s="1" t="s">
        <v>1434</v>
      </c>
    </row>
    <row r="16" customFormat="false" ht="15" hidden="false" customHeight="true" outlineLevel="0" collapsed="false">
      <c r="A16" s="1" t="s">
        <v>907</v>
      </c>
      <c r="B16" s="1" t="n">
        <v>3</v>
      </c>
      <c r="C16" s="1" t="s">
        <v>1435</v>
      </c>
      <c r="D16" s="1" t="s">
        <v>1436</v>
      </c>
      <c r="E16" s="1" t="s">
        <v>1437</v>
      </c>
      <c r="F16" s="1" t="s">
        <v>1438</v>
      </c>
    </row>
    <row r="17" customFormat="false" ht="15" hidden="false" customHeight="true" outlineLevel="0" collapsed="false">
      <c r="A17" s="1" t="s">
        <v>912</v>
      </c>
      <c r="B17" s="1" t="n">
        <v>3</v>
      </c>
      <c r="C17" s="1" t="s">
        <v>1439</v>
      </c>
      <c r="D17" s="1" t="s">
        <v>1440</v>
      </c>
      <c r="E17" s="1" t="s">
        <v>1441</v>
      </c>
      <c r="F17" s="1" t="s">
        <v>1442</v>
      </c>
    </row>
    <row r="18" customFormat="false" ht="15" hidden="false" customHeight="true" outlineLevel="0" collapsed="false">
      <c r="A18" s="1" t="s">
        <v>918</v>
      </c>
      <c r="B18" s="1" t="n">
        <v>3</v>
      </c>
      <c r="C18" s="1" t="s">
        <v>1443</v>
      </c>
      <c r="D18" s="1" t="s">
        <v>1444</v>
      </c>
      <c r="E18" s="1" t="s">
        <v>1445</v>
      </c>
      <c r="F18" s="1" t="s">
        <v>1446</v>
      </c>
    </row>
    <row r="20" customFormat="false" ht="15" hidden="false" customHeight="true" outlineLevel="0" collapsed="false">
      <c r="A20" s="1" t="s">
        <v>13</v>
      </c>
    </row>
    <row r="21" customFormat="false" ht="15" hidden="false" customHeight="true" outlineLevel="0" collapsed="false">
      <c r="A21" s="1" t="s">
        <v>1447</v>
      </c>
    </row>
    <row r="22" customFormat="false" ht="15" hidden="false" customHeight="true" outlineLevel="0" collapsed="false">
      <c r="A22" s="1" t="s">
        <v>13</v>
      </c>
    </row>
    <row r="24" customFormat="false" ht="15" hidden="false" customHeight="true" outlineLevel="0" collapsed="false">
      <c r="A24" s="1" t="s">
        <v>1004</v>
      </c>
      <c r="B24" s="1" t="s">
        <v>1448</v>
      </c>
    </row>
    <row r="25" customFormat="false" ht="15" hidden="false" customHeight="true" outlineLevel="0" collapsed="false">
      <c r="A25" s="1" t="s">
        <v>1449</v>
      </c>
      <c r="B25" s="1" t="s">
        <v>1450</v>
      </c>
    </row>
    <row r="26" customFormat="false" ht="15" hidden="false" customHeight="true" outlineLevel="0" collapsed="false">
      <c r="A26" s="1" t="s">
        <v>1451</v>
      </c>
      <c r="B26" s="1" t="s">
        <v>1452</v>
      </c>
    </row>
    <row r="27" customFormat="false" ht="15" hidden="false" customHeight="true" outlineLevel="0" collapsed="false">
      <c r="A27" s="1" t="s">
        <v>1453</v>
      </c>
      <c r="B27" s="1" t="s">
        <v>1454</v>
      </c>
    </row>
    <row r="28" customFormat="false" ht="15" hidden="false" customHeight="true" outlineLevel="0" collapsed="false">
      <c r="A28" s="1" t="s">
        <v>1455</v>
      </c>
      <c r="B28" s="1" t="s">
        <v>1456</v>
      </c>
    </row>
    <row r="29" customFormat="false" ht="15" hidden="false" customHeight="true" outlineLevel="0" collapsed="false">
      <c r="A29" s="1" t="s">
        <v>1457</v>
      </c>
      <c r="B29" s="1" t="s">
        <v>1458</v>
      </c>
    </row>
    <row r="30" customFormat="false" ht="15" hidden="false" customHeight="true" outlineLevel="0" collapsed="false">
      <c r="A30" s="1" t="s">
        <v>1459</v>
      </c>
      <c r="B30" s="1" t="s">
        <v>1460</v>
      </c>
    </row>
    <row r="32" customFormat="false" ht="15" hidden="false" customHeight="true" outlineLevel="0" collapsed="false">
      <c r="A32" s="1" t="s">
        <v>13</v>
      </c>
    </row>
    <row r="33" customFormat="false" ht="15" hidden="false" customHeight="true" outlineLevel="0" collapsed="false">
      <c r="A33" s="1" t="s">
        <v>1461</v>
      </c>
    </row>
    <row r="34" customFormat="false" ht="15" hidden="false" customHeight="true" outlineLevel="0" collapsed="false">
      <c r="A34" s="1" t="s">
        <v>13</v>
      </c>
    </row>
    <row r="36" customFormat="false" ht="15" hidden="false" customHeight="true" outlineLevel="0" collapsed="false">
      <c r="A36" s="1" t="s">
        <v>1462</v>
      </c>
    </row>
    <row r="38" customFormat="false" ht="15" hidden="false" customHeight="true" outlineLevel="0" collapsed="false">
      <c r="A38" s="1" t="s">
        <v>1463</v>
      </c>
    </row>
    <row r="39" customFormat="false" ht="15" hidden="false" customHeight="true" outlineLevel="0" collapsed="false">
      <c r="A39" s="1" t="s">
        <v>1464</v>
      </c>
    </row>
    <row r="40" customFormat="false" ht="15" hidden="false" customHeight="true" outlineLevel="0" collapsed="false">
      <c r="A40" s="1" t="s">
        <v>1465</v>
      </c>
    </row>
    <row r="42" customFormat="false" ht="15" hidden="false" customHeight="true" outlineLevel="0" collapsed="false">
      <c r="A42" s="1" t="s">
        <v>1466</v>
      </c>
    </row>
    <row r="43" customFormat="false" ht="15" hidden="false" customHeight="true" outlineLevel="0" collapsed="false">
      <c r="A43" s="1" t="s">
        <v>1467</v>
      </c>
    </row>
    <row r="45" customFormat="false" ht="15" hidden="false" customHeight="true" outlineLevel="0" collapsed="false">
      <c r="A45" s="1" t="s">
        <v>13</v>
      </c>
    </row>
    <row r="46" customFormat="false" ht="15" hidden="false" customHeight="true" outlineLevel="0" collapsed="false">
      <c r="A46" s="1" t="s">
        <v>1468</v>
      </c>
    </row>
    <row r="47" customFormat="false" ht="15" hidden="false" customHeight="true" outlineLevel="0" collapsed="false">
      <c r="A47" s="1" t="s">
        <v>13</v>
      </c>
    </row>
    <row r="49" customFormat="false" ht="15" hidden="false" customHeight="true" outlineLevel="0" collapsed="false">
      <c r="A49" s="1" t="s">
        <v>1469</v>
      </c>
    </row>
    <row r="50" customFormat="false" ht="15" hidden="false" customHeight="true" outlineLevel="0" collapsed="false">
      <c r="A50" s="1" t="s">
        <v>1470</v>
      </c>
    </row>
    <row r="51" customFormat="false" ht="15" hidden="false" customHeight="true" outlineLevel="0" collapsed="false">
      <c r="A51" s="1" t="s">
        <v>1471</v>
      </c>
    </row>
    <row r="52" customFormat="false" ht="15" hidden="false" customHeight="true" outlineLevel="0" collapsed="false">
      <c r="A52" s="1" t="s">
        <v>1472</v>
      </c>
    </row>
    <row r="53" customFormat="false" ht="15" hidden="false" customHeight="true" outlineLevel="0" collapsed="false">
      <c r="A53" s="1"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2026-06-27T22:48:32Z</dcterms:created>
  <dc:creator>openpyxl</dc:creator>
  <dc:description/>
  <dc:language>en-US</dc:language>
  <cp:lastModifiedBy/>
  <dcterms:modified xsi:type="dcterms:W3CDTF">2026-06-27T23:43:41Z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